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Data\实时价格\"/>
    </mc:Choice>
  </mc:AlternateContent>
  <xr:revisionPtr revIDLastSave="0" documentId="13_ncr:1_{50C1C206-E2E6-4828-80CC-DFE81912C4D2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sheet" sheetId="1" r:id="rId1"/>
    <sheet name="Sheet1" sheetId="2" r:id="rId2"/>
  </sheets>
  <definedNames>
    <definedName name="_xlnm._FilterDatabase" localSheetId="1" hidden="1">Sheet1!$B$1:$C$97</definedName>
  </definedNames>
  <calcPr calcId="181029"/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2" i="1"/>
  <c r="I25" i="2" l="1"/>
  <c r="H25" i="2"/>
  <c r="I24" i="2"/>
  <c r="H24" i="2"/>
  <c r="I23" i="2"/>
  <c r="H23" i="2"/>
  <c r="I22" i="2"/>
  <c r="H22" i="2"/>
  <c r="I21" i="2"/>
  <c r="H21" i="2"/>
  <c r="I20" i="2"/>
  <c r="H20" i="2"/>
  <c r="I19" i="2"/>
  <c r="H19" i="2"/>
  <c r="I18" i="2"/>
  <c r="H18" i="2"/>
  <c r="I17" i="2"/>
  <c r="H17" i="2"/>
  <c r="I16" i="2"/>
  <c r="H16" i="2"/>
  <c r="I15" i="2"/>
  <c r="H15" i="2"/>
  <c r="I14" i="2"/>
  <c r="H14" i="2"/>
  <c r="I13" i="2"/>
  <c r="H13" i="2"/>
  <c r="I12" i="2"/>
  <c r="H12" i="2"/>
  <c r="I11" i="2"/>
  <c r="H11" i="2"/>
  <c r="I10" i="2"/>
  <c r="H10" i="2"/>
  <c r="I9" i="2"/>
  <c r="H9" i="2"/>
  <c r="I8" i="2"/>
  <c r="H8" i="2"/>
  <c r="I7" i="2"/>
  <c r="H7" i="2"/>
  <c r="I6" i="2"/>
  <c r="H6" i="2"/>
  <c r="I5" i="2"/>
  <c r="H5" i="2"/>
  <c r="I4" i="2"/>
  <c r="H4" i="2"/>
  <c r="I3" i="2"/>
  <c r="H3" i="2"/>
  <c r="I2" i="2"/>
  <c r="H2" i="2"/>
  <c r="I27" i="2" l="1"/>
  <c r="E2" i="2"/>
  <c r="D2" i="2"/>
</calcChain>
</file>

<file path=xl/sharedStrings.xml><?xml version="1.0" encoding="utf-8"?>
<sst xmlns="http://schemas.openxmlformats.org/spreadsheetml/2006/main" count="224" uniqueCount="222">
  <si>
    <t>序号</t>
  </si>
  <si>
    <t>时间</t>
  </si>
  <si>
    <t>江南分区价格（元/MWh）</t>
  </si>
  <si>
    <t>江北分区价格（元/MWh）</t>
  </si>
  <si>
    <t>1</t>
  </si>
  <si>
    <t>00:15</t>
  </si>
  <si>
    <t>2</t>
  </si>
  <si>
    <t>00:30</t>
  </si>
  <si>
    <t>3</t>
  </si>
  <si>
    <t>00:45</t>
  </si>
  <si>
    <t>4</t>
  </si>
  <si>
    <t>01:00</t>
  </si>
  <si>
    <t>5</t>
  </si>
  <si>
    <t>01:15</t>
  </si>
  <si>
    <t>6</t>
  </si>
  <si>
    <t>01:30</t>
  </si>
  <si>
    <t>7</t>
  </si>
  <si>
    <t>01:45</t>
  </si>
  <si>
    <t>8</t>
  </si>
  <si>
    <t>02:00</t>
  </si>
  <si>
    <t>9</t>
  </si>
  <si>
    <t>02:15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</si>
  <si>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</si>
  <si>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</si>
  <si>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</si>
  <si>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</si>
  <si>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</si>
  <si>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</si>
  <si>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</si>
  <si>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</si>
  <si>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</si>
  <si>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</si>
  <si>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</si>
  <si>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</si>
  <si>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</si>
  <si>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</si>
  <si>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</si>
  <si>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</si>
  <si>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</si>
  <si>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</si>
  <si>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</si>
  <si>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</si>
  <si>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</si>
  <si>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</si>
  <si>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</si>
  <si>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</si>
  <si>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</si>
  <si>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</si>
  <si>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</si>
  <si>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</si>
  <si>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</si>
  <si>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</si>
  <si>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</si>
  <si>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</si>
  <si>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</si>
  <si>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</si>
  <si>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</si>
  <si>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</si>
  <si>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</si>
  <si>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</si>
  <si>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</si>
  <si>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</si>
  <si>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</si>
  <si>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</si>
  <si>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</si>
  <si>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</si>
  <si>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32</t>
  </si>
  <si>
    <t>08:00</t>
  </si>
  <si>
    <t>33</t>
  </si>
  <si>
    <t>08:15</t>
  </si>
  <si>
    <t>34</t>
  </si>
  <si>
    <t>08:30</t>
  </si>
  <si>
    <t>35</t>
  </si>
  <si>
    <t>08:45</t>
  </si>
  <si>
    <t>36</t>
  </si>
  <si>
    <t>09:00</t>
  </si>
  <si>
    <t>37</t>
  </si>
  <si>
    <t>09:15</t>
  </si>
  <si>
    <t>38</t>
  </si>
  <si>
    <t>09:30</t>
  </si>
  <si>
    <t>39</t>
  </si>
  <si>
    <t>09:45</t>
  </si>
  <si>
    <t>40</t>
  </si>
  <si>
    <t>10:00</t>
  </si>
  <si>
    <t>41</t>
  </si>
  <si>
    <t>10:15</t>
  </si>
  <si>
    <t>42</t>
  </si>
  <si>
    <t>10:30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</si>
  <si>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</si>
  <si>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</si>
  <si>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</si>
  <si>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</si>
  <si>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</si>
  <si>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</si>
  <si>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</si>
  <si>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</si>
  <si>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</si>
  <si>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</si>
  <si>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</si>
  <si>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</si>
  <si>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</si>
  <si>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</si>
  <si>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</si>
  <si>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</si>
  <si>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</si>
  <si>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</si>
  <si>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</si>
  <si>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</si>
  <si>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</si>
  <si>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</si>
  <si>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</si>
  <si>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</si>
  <si>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</si>
  <si>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</si>
  <si>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</si>
  <si>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</si>
  <si>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</si>
  <si>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</si>
  <si>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</si>
  <si>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</si>
  <si>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</si>
  <si>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</si>
  <si>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</si>
  <si>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</si>
  <si>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</si>
  <si>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</si>
  <si>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</si>
  <si>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</si>
  <si>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63</t>
  </si>
  <si>
    <t>15:45</t>
  </si>
  <si>
    <t>64</t>
  </si>
  <si>
    <t>16:00</t>
  </si>
  <si>
    <t>65</t>
  </si>
  <si>
    <t>16:15</t>
  </si>
  <si>
    <t>66</t>
  </si>
  <si>
    <t>16:30</t>
  </si>
  <si>
    <t>67</t>
  </si>
  <si>
    <t>16:45</t>
  </si>
  <si>
    <t>68</t>
  </si>
  <si>
    <t>17:00</t>
  </si>
  <si>
    <t>69</t>
  </si>
  <si>
    <t>17:15</t>
  </si>
  <si>
    <t>70</t>
  </si>
  <si>
    <t>17:30</t>
  </si>
  <si>
    <t>71</t>
  </si>
  <si>
    <t>17:45</t>
  </si>
  <si>
    <t>72</t>
  </si>
  <si>
    <t>18:00</t>
  </si>
  <si>
    <t>73</t>
  </si>
  <si>
    <t>18:15</t>
  </si>
  <si>
    <t>74</t>
  </si>
  <si>
    <t>18:30</t>
  </si>
  <si>
    <t>75</t>
  </si>
  <si>
    <t>18:45</t>
  </si>
  <si>
    <t>76</t>
  </si>
  <si>
    <t>19:00</t>
  </si>
  <si>
    <t>77</t>
  </si>
  <si>
    <t>19:15</t>
  </si>
  <si>
    <t>78</t>
  </si>
  <si>
    <t>19:30</t>
  </si>
  <si>
    <t>79</t>
  </si>
  <si>
    <t>19:45</t>
  </si>
  <si>
    <t>80</t>
  </si>
  <si>
    <t>20:00</t>
  </si>
  <si>
    <t>81</t>
  </si>
  <si>
    <t>20:15</t>
  </si>
  <si>
    <t>82</t>
  </si>
  <si>
    <t>20:30</t>
  </si>
  <si>
    <t>83</t>
  </si>
  <si>
    <t>20:45</t>
  </si>
  <si>
    <t>84</t>
  </si>
  <si>
    <t>21:00</t>
  </si>
  <si>
    <t>85</t>
  </si>
  <si>
    <t>21:15</t>
  </si>
  <si>
    <t>86</t>
  </si>
  <si>
    <t>21:30</t>
  </si>
  <si>
    <t>87</t>
  </si>
  <si>
    <t>21:45</t>
  </si>
  <si>
    <t>88</t>
  </si>
  <si>
    <t>22:00</t>
  </si>
  <si>
    <t>89</t>
  </si>
  <si>
    <t>22:15</t>
  </si>
  <si>
    <t>90</t>
  </si>
  <si>
    <t>22:30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</si>
  <si>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</si>
  <si>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</si>
  <si>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</si>
  <si>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</si>
  <si>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</si>
  <si>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</si>
  <si>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</si>
  <si>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</si>
  <si>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</si>
  <si>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</si>
  <si>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</si>
  <si>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</si>
  <si>
    <t>江南</t>
    <phoneticPr fontId="1" type="noConversion"/>
  </si>
  <si>
    <t>江北</t>
    <phoneticPr fontId="1" type="noConversion"/>
  </si>
  <si>
    <t>1时</t>
    <phoneticPr fontId="1" type="noConversion"/>
  </si>
  <si>
    <t>2时</t>
    <phoneticPr fontId="1" type="noConversion"/>
  </si>
  <si>
    <t>3时</t>
    <phoneticPr fontId="1" type="noConversion"/>
  </si>
  <si>
    <t>4时</t>
  </si>
  <si>
    <t>5时</t>
  </si>
  <si>
    <t>6时</t>
  </si>
  <si>
    <t>7时</t>
  </si>
  <si>
    <t>8时</t>
  </si>
  <si>
    <t>9时</t>
  </si>
  <si>
    <t>10时</t>
  </si>
  <si>
    <t>11时</t>
  </si>
  <si>
    <t>12时</t>
  </si>
  <si>
    <t>13时</t>
  </si>
  <si>
    <t>14时</t>
  </si>
  <si>
    <t>15时</t>
  </si>
  <si>
    <t>16时</t>
  </si>
  <si>
    <t>17时</t>
  </si>
  <si>
    <t>18时</t>
  </si>
  <si>
    <t>19时</t>
  </si>
  <si>
    <t>20时</t>
  </si>
  <si>
    <t>21时</t>
  </si>
  <si>
    <t>22时</t>
  </si>
  <si>
    <t>23时</t>
  </si>
  <si>
    <t>24时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</si>
</sst>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3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indexed="8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/>
    </xf>
    <xf numFmtId="176" fontId="0" fillId="0" borderId="0" xfId="0" applyNumberForma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6.1</a:t>
            </a:r>
            <a:r>
              <a:rPr lang="zh-CN" altLang="en-US"/>
              <a:t>实时价格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江南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Sheet1!$G$2:$G$25</c:f>
              <c:strCache>
                <c:ptCount val="24"/>
                <c:pt idx="0">
                  <c:v>1时</c:v>
                </c:pt>
                <c:pt idx="1">
                  <c:v>2时</c:v>
                </c:pt>
                <c:pt idx="2">
                  <c:v>3时</c:v>
                </c:pt>
                <c:pt idx="3">
                  <c:v>4时</c:v>
                </c:pt>
                <c:pt idx="4">
                  <c:v>5时</c:v>
                </c:pt>
                <c:pt idx="5">
                  <c:v>6时</c:v>
                </c:pt>
                <c:pt idx="6">
                  <c:v>7时</c:v>
                </c:pt>
                <c:pt idx="7">
                  <c:v>8时</c:v>
                </c:pt>
                <c:pt idx="8">
                  <c:v>9时</c:v>
                </c:pt>
                <c:pt idx="9">
                  <c:v>10时</c:v>
                </c:pt>
                <c:pt idx="10">
                  <c:v>11时</c:v>
                </c:pt>
                <c:pt idx="11">
                  <c:v>12时</c:v>
                </c:pt>
                <c:pt idx="12">
                  <c:v>13时</c:v>
                </c:pt>
                <c:pt idx="13">
                  <c:v>14时</c:v>
                </c:pt>
                <c:pt idx="14">
                  <c:v>15时</c:v>
                </c:pt>
                <c:pt idx="15">
                  <c:v>16时</c:v>
                </c:pt>
                <c:pt idx="16">
                  <c:v>17时</c:v>
                </c:pt>
                <c:pt idx="17">
                  <c:v>18时</c:v>
                </c:pt>
                <c:pt idx="18">
                  <c:v>19时</c:v>
                </c:pt>
                <c:pt idx="19">
                  <c:v>20时</c:v>
                </c:pt>
                <c:pt idx="20">
                  <c:v>21时</c:v>
                </c:pt>
                <c:pt idx="21">
                  <c:v>22时</c:v>
                </c:pt>
                <c:pt idx="22">
                  <c:v>23时</c:v>
                </c:pt>
                <c:pt idx="23">
                  <c:v>24时</c:v>
                </c:pt>
              </c:strCache>
            </c:strRef>
          </c:cat>
          <c:val>
            <c:numRef>
              <c:f>Sheet1!$H$2:$H$25</c:f>
              <c:numCache>
                <c:formatCode>General</c:formatCode>
                <c:ptCount val="24"/>
                <c:pt idx="0">
                  <c:v>312.8</c:v>
                </c:pt>
                <c:pt idx="1">
                  <c:v>272.25</c:v>
                </c:pt>
                <c:pt idx="2">
                  <c:v>262.5</c:v>
                </c:pt>
                <c:pt idx="3">
                  <c:v>252</c:v>
                </c:pt>
                <c:pt idx="4">
                  <c:v>243</c:v>
                </c:pt>
                <c:pt idx="5">
                  <c:v>239.25</c:v>
                </c:pt>
                <c:pt idx="6">
                  <c:v>212.25</c:v>
                </c:pt>
                <c:pt idx="7">
                  <c:v>200</c:v>
                </c:pt>
                <c:pt idx="8">
                  <c:v>256.39999999999998</c:v>
                </c:pt>
                <c:pt idx="9">
                  <c:v>241.25</c:v>
                </c:pt>
                <c:pt idx="10">
                  <c:v>200</c:v>
                </c:pt>
                <c:pt idx="11">
                  <c:v>200</c:v>
                </c:pt>
                <c:pt idx="12">
                  <c:v>205.25</c:v>
                </c:pt>
                <c:pt idx="13">
                  <c:v>200</c:v>
                </c:pt>
                <c:pt idx="14">
                  <c:v>212.25</c:v>
                </c:pt>
                <c:pt idx="15">
                  <c:v>248.7</c:v>
                </c:pt>
                <c:pt idx="16">
                  <c:v>218</c:v>
                </c:pt>
                <c:pt idx="17">
                  <c:v>225</c:v>
                </c:pt>
                <c:pt idx="18">
                  <c:v>238.25</c:v>
                </c:pt>
                <c:pt idx="19">
                  <c:v>213.25</c:v>
                </c:pt>
                <c:pt idx="20">
                  <c:v>273</c:v>
                </c:pt>
                <c:pt idx="21">
                  <c:v>262.75</c:v>
                </c:pt>
                <c:pt idx="22">
                  <c:v>273.25</c:v>
                </c:pt>
                <c:pt idx="23">
                  <c:v>259.5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D4-4CDD-A89B-0678F24278E0}"/>
            </c:ext>
          </c:extLst>
        </c:ser>
        <c:ser>
          <c:idx val="1"/>
          <c:order val="1"/>
          <c:tx>
            <c:strRef>
              <c:f>Sheet1!$I$1</c:f>
              <c:strCache>
                <c:ptCount val="1"/>
                <c:pt idx="0">
                  <c:v>江北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Sheet1!$G$2:$G$25</c:f>
              <c:strCache>
                <c:ptCount val="24"/>
                <c:pt idx="0">
                  <c:v>1时</c:v>
                </c:pt>
                <c:pt idx="1">
                  <c:v>2时</c:v>
                </c:pt>
                <c:pt idx="2">
                  <c:v>3时</c:v>
                </c:pt>
                <c:pt idx="3">
                  <c:v>4时</c:v>
                </c:pt>
                <c:pt idx="4">
                  <c:v>5时</c:v>
                </c:pt>
                <c:pt idx="5">
                  <c:v>6时</c:v>
                </c:pt>
                <c:pt idx="6">
                  <c:v>7时</c:v>
                </c:pt>
                <c:pt idx="7">
                  <c:v>8时</c:v>
                </c:pt>
                <c:pt idx="8">
                  <c:v>9时</c:v>
                </c:pt>
                <c:pt idx="9">
                  <c:v>10时</c:v>
                </c:pt>
                <c:pt idx="10">
                  <c:v>11时</c:v>
                </c:pt>
                <c:pt idx="11">
                  <c:v>12时</c:v>
                </c:pt>
                <c:pt idx="12">
                  <c:v>13时</c:v>
                </c:pt>
                <c:pt idx="13">
                  <c:v>14时</c:v>
                </c:pt>
                <c:pt idx="14">
                  <c:v>15时</c:v>
                </c:pt>
                <c:pt idx="15">
                  <c:v>16时</c:v>
                </c:pt>
                <c:pt idx="16">
                  <c:v>17时</c:v>
                </c:pt>
                <c:pt idx="17">
                  <c:v>18时</c:v>
                </c:pt>
                <c:pt idx="18">
                  <c:v>19时</c:v>
                </c:pt>
                <c:pt idx="19">
                  <c:v>20时</c:v>
                </c:pt>
                <c:pt idx="20">
                  <c:v>21时</c:v>
                </c:pt>
                <c:pt idx="21">
                  <c:v>22时</c:v>
                </c:pt>
                <c:pt idx="22">
                  <c:v>23时</c:v>
                </c:pt>
                <c:pt idx="23">
                  <c:v>24时</c:v>
                </c:pt>
              </c:strCache>
            </c:strRef>
          </c:cat>
          <c:val>
            <c:numRef>
              <c:f>Sheet1!$I$2:$I$25</c:f>
              <c:numCache>
                <c:formatCode>General</c:formatCode>
                <c:ptCount val="24"/>
                <c:pt idx="0">
                  <c:v>300.75</c:v>
                </c:pt>
                <c:pt idx="1">
                  <c:v>264</c:v>
                </c:pt>
                <c:pt idx="2">
                  <c:v>265</c:v>
                </c:pt>
                <c:pt idx="3">
                  <c:v>253.75</c:v>
                </c:pt>
                <c:pt idx="4">
                  <c:v>245.25</c:v>
                </c:pt>
                <c:pt idx="5">
                  <c:v>238</c:v>
                </c:pt>
                <c:pt idx="6">
                  <c:v>214.39999999999998</c:v>
                </c:pt>
                <c:pt idx="7">
                  <c:v>200</c:v>
                </c:pt>
                <c:pt idx="8">
                  <c:v>275.75</c:v>
                </c:pt>
                <c:pt idx="9">
                  <c:v>263</c:v>
                </c:pt>
                <c:pt idx="10">
                  <c:v>280.5</c:v>
                </c:pt>
                <c:pt idx="11">
                  <c:v>200</c:v>
                </c:pt>
                <c:pt idx="12">
                  <c:v>208.64999999999998</c:v>
                </c:pt>
                <c:pt idx="13">
                  <c:v>201.45</c:v>
                </c:pt>
                <c:pt idx="14">
                  <c:v>217.25</c:v>
                </c:pt>
                <c:pt idx="15">
                  <c:v>261.57499999999999</c:v>
                </c:pt>
                <c:pt idx="16">
                  <c:v>280.60000000000002</c:v>
                </c:pt>
                <c:pt idx="17">
                  <c:v>224.27500000000001</c:v>
                </c:pt>
                <c:pt idx="18">
                  <c:v>212.95</c:v>
                </c:pt>
                <c:pt idx="19">
                  <c:v>275</c:v>
                </c:pt>
                <c:pt idx="20">
                  <c:v>300</c:v>
                </c:pt>
                <c:pt idx="21">
                  <c:v>300</c:v>
                </c:pt>
                <c:pt idx="22">
                  <c:v>300</c:v>
                </c:pt>
                <c:pt idx="23">
                  <c:v>300.15000000000003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D4-4CDD-A89B-0678F24278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6651984"/>
        <c:axId val="1216634512"/>
      </c:lineChart>
      <c:catAx>
        <c:axId val="1216651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16634512"/>
        <c:crosses val="autoZero"/>
        <c:auto val="1"/>
        <c:lblAlgn val="ctr"/>
        <c:lblOffset val="100"/>
        <c:noMultiLvlLbl val="0"/>
      </c:catAx>
      <c:valAx>
        <c:axId val="121663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16651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552449</xdr:colOff>
      <xdr:row>3</xdr:row>
      <xdr:rowOff>95250</xdr:rowOff>
    </xdr:from>
    <xdr:to>
      <xdr:col>19</xdr:col>
      <xdr:colOff>136071</xdr:colOff>
      <xdr:row>24</xdr:row>
      <xdr:rowOff>48986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7"/>
  <sheetViews>
    <sheetView tabSelected="1" zoomScaleNormal="100" workbookViewId="0">
      <selection activeCell="K23" sqref="K23"/>
    </sheetView>
  </sheetViews>
  <sheetFormatPr defaultRowHeight="14.15" x14ac:dyDescent="0.35"/>
  <cols>
    <col min="1" max="1" width="3.2109375" bestFit="1" customWidth="1"/>
    <col min="2" max="2" width="6.35546875" bestFit="1" customWidth="1"/>
    <col min="3" max="4" width="23.78515625" bestFit="1" customWidth="1"/>
    <col min="5" max="6" width="6.1406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</row>
    <row r="2" spans="1:6" x14ac:dyDescent="0.35">
      <c r="A2" s="1" t="s">
        <v>4</v>
      </c>
      <c r="B2" s="1" t="s">
        <v>5</v>
      </c>
      <c r="C2" s="1">
        <v>312.8</v>
      </c>
      <c r="D2" s="1">
        <v>300</v>
      </c>
      <c r="E2" s="1">
        <f>MAX(200,MIN(C2,600))</f>
        <v>312.8</v>
      </c>
      <c r="F2" s="1">
        <f>MAX(200,MIN(D2,600))</f>
        <v>300</v>
      </c>
    </row>
    <row r="3" spans="1:6" x14ac:dyDescent="0.35">
      <c r="A3" s="1" t="s">
        <v>6</v>
      </c>
      <c r="B3" s="1" t="s">
        <v>7</v>
      </c>
      <c r="C3" s="1">
        <v>312.8</v>
      </c>
      <c r="D3" s="1">
        <v>312</v>
      </c>
      <c r="E3" s="1">
        <f t="shared" ref="E3:F66" si="0">MAX(200,MIN(C3,600))</f>
        <v>312.8</v>
      </c>
      <c r="F3" s="1">
        <f t="shared" si="0"/>
        <v>312</v>
      </c>
    </row>
    <row r="4" spans="1:6" x14ac:dyDescent="0.35">
      <c r="A4" s="1" t="s">
        <v>8</v>
      </c>
      <c r="B4" s="1" t="s">
        <v>9</v>
      </c>
      <c r="C4" s="1">
        <v>312.8</v>
      </c>
      <c r="D4" s="1">
        <v>300</v>
      </c>
      <c r="E4" s="1">
        <f t="shared" si="0"/>
        <v>312.8</v>
      </c>
      <c r="F4" s="1">
        <f t="shared" si="0"/>
        <v>300</v>
      </c>
    </row>
    <row r="5" spans="1:6" x14ac:dyDescent="0.35">
      <c r="A5" s="1" t="s">
        <v>10</v>
      </c>
      <c r="B5" s="1" t="s">
        <v>11</v>
      </c>
      <c r="C5" s="1">
        <v>312.8</v>
      </c>
      <c r="D5" s="1">
        <v>291</v>
      </c>
      <c r="E5" s="1">
        <f t="shared" si="0"/>
        <v>312.8</v>
      </c>
      <c r="F5" s="1">
        <f t="shared" si="0"/>
        <v>291</v>
      </c>
    </row>
    <row r="6" spans="1:6" x14ac:dyDescent="0.35">
      <c r="A6" s="1" t="s">
        <v>12</v>
      </c>
      <c r="B6" s="1" t="s">
        <v>13</v>
      </c>
      <c r="C6" s="1">
        <v>273</v>
      </c>
      <c r="D6" s="1">
        <v>262</v>
      </c>
      <c r="E6" s="1">
        <f t="shared" si="0"/>
        <v>273</v>
      </c>
      <c r="F6" s="1">
        <f t="shared" si="0"/>
        <v>262</v>
      </c>
    </row>
    <row r="7" spans="1:6" x14ac:dyDescent="0.35">
      <c r="A7" s="1" t="s">
        <v>14</v>
      </c>
      <c r="B7" s="1" t="s">
        <v>15</v>
      </c>
      <c r="C7" s="1">
        <v>273</v>
      </c>
      <c r="D7" s="1">
        <v>262</v>
      </c>
      <c r="E7" s="1">
        <f t="shared" si="0"/>
        <v>273</v>
      </c>
      <c r="F7" s="1">
        <f t="shared" si="0"/>
        <v>262</v>
      </c>
    </row>
    <row r="8" spans="1:6" x14ac:dyDescent="0.35">
      <c r="A8" s="1" t="s">
        <v>16</v>
      </c>
      <c r="B8" s="1" t="s">
        <v>17</v>
      </c>
      <c r="C8" s="1">
        <v>273</v>
      </c>
      <c r="D8" s="1">
        <v>262</v>
      </c>
      <c r="E8" s="1">
        <f t="shared" si="0"/>
        <v>273</v>
      </c>
      <c r="F8" s="1">
        <f t="shared" si="0"/>
        <v>262</v>
      </c>
    </row>
    <row r="9" spans="1:6" x14ac:dyDescent="0.35">
      <c r="A9" s="1" t="s">
        <v>18</v>
      </c>
      <c r="B9" s="1" t="s">
        <v>19</v>
      </c>
      <c r="C9" s="1">
        <v>270</v>
      </c>
      <c r="D9" s="1">
        <v>270</v>
      </c>
      <c r="E9" s="1">
        <f t="shared" si="0"/>
        <v>270</v>
      </c>
      <c r="F9" s="1">
        <f t="shared" si="0"/>
        <v>270</v>
      </c>
    </row>
    <row r="10" spans="1:6" x14ac:dyDescent="0.35">
      <c r="A10" s="1" t="s">
        <v>20</v>
      </c>
      <c r="B10" s="1" t="s">
        <v>21</v>
      </c>
      <c r="C10" s="1">
        <v>270</v>
      </c>
      <c r="D10" s="1">
        <v>270</v>
      </c>
      <c r="E10" s="1">
        <f t="shared" si="0"/>
        <v>270</v>
      </c>
      <c r="F10" s="1">
        <f t="shared" si="0"/>
        <v>270</v>
      </c>
    </row>
    <row r="11" spans="1:6" x14ac:dyDescent="0.35">
      <c r="A11" s="1" t="s">
        <v>22</v>
      </c>
      <c r="B11" s="1" t="s">
        <v>23</v>
      </c>
      <c r="C11" s="1">
        <v>260</v>
      </c>
      <c r="D11" s="1">
        <v>270</v>
      </c>
      <c r="E11" s="1">
        <f t="shared" si="0"/>
        <v>260</v>
      </c>
      <c r="F11" s="1">
        <f t="shared" si="0"/>
        <v>270</v>
      </c>
    </row>
    <row r="12" spans="1:6" x14ac:dyDescent="0.35">
      <c r="A12" s="1" t="s">
        <v>24</v>
      </c>
      <c r="B12" s="1" t="s">
        <v>25</v>
      </c>
      <c r="C12" s="1">
        <v>260</v>
      </c>
      <c r="D12" s="1">
        <v>260</v>
      </c>
      <c r="E12" s="1">
        <f t="shared" si="0"/>
        <v>260</v>
      </c>
      <c r="F12" s="1">
        <f t="shared" si="0"/>
        <v>260</v>
      </c>
    </row>
    <row r="13" spans="1:6" x14ac:dyDescent="0.35">
      <c r="A13" s="1" t="s">
        <v>26</v>
      </c>
      <c r="B13" s="1" t="s">
        <v>27</v>
      </c>
      <c r="C13" s="1">
        <v>260</v>
      </c>
      <c r="D13" s="1">
        <v>260</v>
      </c>
      <c r="E13" s="1">
        <f t="shared" si="0"/>
        <v>260</v>
      </c>
      <c r="F13" s="1">
        <f t="shared" si="0"/>
        <v>260</v>
      </c>
    </row>
    <row r="14" spans="1:6" x14ac:dyDescent="0.35">
      <c r="A14" s="1" t="s">
        <v>28</v>
      </c>
      <c r="B14" s="1" t="s">
        <v>29</v>
      </c>
      <c r="C14" s="1">
        <v>258</v>
      </c>
      <c r="D14" s="1">
        <v>259</v>
      </c>
      <c r="E14" s="1">
        <f t="shared" si="0"/>
        <v>258</v>
      </c>
      <c r="F14" s="1">
        <f t="shared" si="0"/>
        <v>259</v>
      </c>
    </row>
    <row r="15" spans="1:6" x14ac:dyDescent="0.35">
      <c r="A15" s="1" t="s">
        <v>30</v>
      </c>
      <c r="B15" s="1" t="s">
        <v>31</v>
      </c>
      <c r="C15" s="1">
        <v>251</v>
      </c>
      <c r="D15" s="1">
        <v>258</v>
      </c>
      <c r="E15" s="1">
        <f t="shared" si="0"/>
        <v>251</v>
      </c>
      <c r="F15" s="1">
        <f t="shared" si="0"/>
        <v>258</v>
      </c>
    </row>
    <row r="16" spans="1:6" x14ac:dyDescent="0.35">
      <c r="A16" s="1" t="s">
        <v>32</v>
      </c>
      <c r="B16" s="1" t="s">
        <v>33</v>
      </c>
      <c r="C16" s="1">
        <v>250</v>
      </c>
      <c r="D16" s="1">
        <v>250</v>
      </c>
      <c r="E16" s="1">
        <f t="shared" si="0"/>
        <v>250</v>
      </c>
      <c r="F16" s="1">
        <f t="shared" si="0"/>
        <v>250</v>
      </c>
    </row>
    <row r="17" spans="1:6" x14ac:dyDescent="0.35">
      <c r="A17" s="1" t="s">
        <v>34</v>
      </c>
      <c r="B17" s="1" t="s">
        <v>35</v>
      </c>
      <c r="C17" s="1">
        <v>249</v>
      </c>
      <c r="D17" s="1">
        <v>248</v>
      </c>
      <c r="E17" s="1">
        <f t="shared" si="0"/>
        <v>249</v>
      </c>
      <c r="F17" s="1">
        <f t="shared" si="0"/>
        <v>248</v>
      </c>
    </row>
    <row r="18" spans="1:6" x14ac:dyDescent="0.35">
      <c r="A18" s="1" t="s">
        <v>36</v>
      </c>
      <c r="B18" s="1" t="s">
        <v>37</v>
      </c>
      <c r="C18" s="1">
        <v>245</v>
      </c>
      <c r="D18" s="1">
        <v>248</v>
      </c>
      <c r="E18" s="1">
        <f t="shared" si="0"/>
        <v>245</v>
      </c>
      <c r="F18" s="1">
        <f t="shared" si="0"/>
        <v>248</v>
      </c>
    </row>
    <row r="19" spans="1:6" x14ac:dyDescent="0.35">
      <c r="A19" s="1" t="s">
        <v>38</v>
      </c>
      <c r="B19" s="1" t="s">
        <v>39</v>
      </c>
      <c r="C19" s="1">
        <v>245</v>
      </c>
      <c r="D19" s="1">
        <v>245</v>
      </c>
      <c r="E19" s="1">
        <f t="shared" si="0"/>
        <v>245</v>
      </c>
      <c r="F19" s="1">
        <f t="shared" si="0"/>
        <v>245</v>
      </c>
    </row>
    <row r="20" spans="1:6" x14ac:dyDescent="0.35">
      <c r="A20" s="1" t="s">
        <v>40</v>
      </c>
      <c r="B20" s="1" t="s">
        <v>41</v>
      </c>
      <c r="C20" s="1">
        <v>241</v>
      </c>
      <c r="D20" s="1">
        <v>244</v>
      </c>
      <c r="E20" s="1">
        <f t="shared" si="0"/>
        <v>241</v>
      </c>
      <c r="F20" s="1">
        <f t="shared" si="0"/>
        <v>244</v>
      </c>
    </row>
    <row r="21" spans="1:6" x14ac:dyDescent="0.35">
      <c r="A21" s="1" t="s">
        <v>42</v>
      </c>
      <c r="B21" s="1" t="s">
        <v>43</v>
      </c>
      <c r="C21" s="1">
        <v>241</v>
      </c>
      <c r="D21" s="1">
        <v>244</v>
      </c>
      <c r="E21" s="1">
        <f t="shared" si="0"/>
        <v>241</v>
      </c>
      <c r="F21" s="1">
        <f t="shared" si="0"/>
        <v>244</v>
      </c>
    </row>
    <row r="22" spans="1:6" x14ac:dyDescent="0.35">
      <c r="A22" s="1" t="s">
        <v>44</v>
      </c>
      <c r="B22" s="1" t="s">
        <v>45</v>
      </c>
      <c r="C22" s="1">
        <v>249</v>
      </c>
      <c r="D22" s="1">
        <v>248</v>
      </c>
      <c r="E22" s="1">
        <f t="shared" si="0"/>
        <v>249</v>
      </c>
      <c r="F22" s="1">
        <f t="shared" si="0"/>
        <v>248</v>
      </c>
    </row>
    <row r="23" spans="1:6" x14ac:dyDescent="0.35">
      <c r="A23" s="1" t="s">
        <v>46</v>
      </c>
      <c r="B23" s="1" t="s">
        <v>47</v>
      </c>
      <c r="C23" s="1">
        <v>241</v>
      </c>
      <c r="D23" s="1">
        <v>244</v>
      </c>
      <c r="E23" s="1">
        <f t="shared" si="0"/>
        <v>241</v>
      </c>
      <c r="F23" s="1">
        <f t="shared" si="0"/>
        <v>244</v>
      </c>
    </row>
    <row r="24" spans="1:6" x14ac:dyDescent="0.35">
      <c r="A24" s="1" t="s">
        <v>48</v>
      </c>
      <c r="B24" s="1" t="s">
        <v>49</v>
      </c>
      <c r="C24" s="1">
        <v>239</v>
      </c>
      <c r="D24" s="1">
        <v>230</v>
      </c>
      <c r="E24" s="1">
        <f t="shared" si="0"/>
        <v>239</v>
      </c>
      <c r="F24" s="1">
        <f t="shared" si="0"/>
        <v>230</v>
      </c>
    </row>
    <row r="25" spans="1:6" x14ac:dyDescent="0.35">
      <c r="A25" s="1" t="s">
        <v>50</v>
      </c>
      <c r="B25" s="1" t="s">
        <v>51</v>
      </c>
      <c r="C25" s="1">
        <v>228</v>
      </c>
      <c r="D25" s="1">
        <v>230</v>
      </c>
      <c r="E25" s="1">
        <f t="shared" si="0"/>
        <v>228</v>
      </c>
      <c r="F25" s="1">
        <f t="shared" si="0"/>
        <v>230</v>
      </c>
    </row>
    <row r="26" spans="1:6" x14ac:dyDescent="0.35">
      <c r="A26" s="1" t="s">
        <v>52</v>
      </c>
      <c r="B26" s="1" t="s">
        <v>53</v>
      </c>
      <c r="C26" s="1">
        <v>227</v>
      </c>
      <c r="D26" s="1">
        <v>223</v>
      </c>
      <c r="E26" s="1">
        <f t="shared" si="0"/>
        <v>227</v>
      </c>
      <c r="F26" s="1">
        <f t="shared" si="0"/>
        <v>223</v>
      </c>
    </row>
    <row r="27" spans="1:6" x14ac:dyDescent="0.35">
      <c r="A27" s="1" t="s">
        <v>54</v>
      </c>
      <c r="B27" s="1" t="s">
        <v>55</v>
      </c>
      <c r="C27" s="1">
        <v>222</v>
      </c>
      <c r="D27" s="1">
        <v>223</v>
      </c>
      <c r="E27" s="1">
        <f t="shared" si="0"/>
        <v>222</v>
      </c>
      <c r="F27" s="1">
        <f t="shared" si="0"/>
        <v>223</v>
      </c>
    </row>
    <row r="28" spans="1:6" x14ac:dyDescent="0.35">
      <c r="A28" s="1" t="s">
        <v>56</v>
      </c>
      <c r="B28" s="1" t="s">
        <v>57</v>
      </c>
      <c r="C28" s="1">
        <v>30</v>
      </c>
      <c r="D28" s="1">
        <v>205.8</v>
      </c>
      <c r="E28" s="1">
        <f t="shared" si="0"/>
        <v>200</v>
      </c>
      <c r="F28" s="1">
        <f t="shared" si="0"/>
        <v>205.8</v>
      </c>
    </row>
    <row r="29" spans="1:6" x14ac:dyDescent="0.35">
      <c r="A29" s="1" t="s">
        <v>58</v>
      </c>
      <c r="B29" s="1" t="s">
        <v>59</v>
      </c>
      <c r="C29" s="1">
        <v>30</v>
      </c>
      <c r="D29" s="1">
        <v>205.8</v>
      </c>
      <c r="E29" s="1">
        <f t="shared" si="0"/>
        <v>200</v>
      </c>
      <c r="F29" s="1">
        <f t="shared" si="0"/>
        <v>205.8</v>
      </c>
    </row>
    <row r="30" spans="1:6" x14ac:dyDescent="0.35">
      <c r="A30" s="1" t="s">
        <v>60</v>
      </c>
      <c r="B30" s="1" t="s">
        <v>61</v>
      </c>
      <c r="C30" s="1">
        <v>30</v>
      </c>
      <c r="D30" s="1">
        <v>30</v>
      </c>
      <c r="E30" s="1">
        <f t="shared" si="0"/>
        <v>200</v>
      </c>
      <c r="F30" s="1">
        <f t="shared" si="0"/>
        <v>200</v>
      </c>
    </row>
    <row r="31" spans="1:6" x14ac:dyDescent="0.35">
      <c r="A31" s="1" t="s">
        <v>62</v>
      </c>
      <c r="B31" s="1" t="s">
        <v>63</v>
      </c>
      <c r="C31" s="1">
        <v>30</v>
      </c>
      <c r="D31" s="1">
        <v>30</v>
      </c>
      <c r="E31" s="1">
        <f t="shared" si="0"/>
        <v>200</v>
      </c>
      <c r="F31" s="1">
        <f t="shared" si="0"/>
        <v>200</v>
      </c>
    </row>
    <row r="32" spans="1:6" x14ac:dyDescent="0.35">
      <c r="A32" s="1" t="s">
        <v>64</v>
      </c>
      <c r="B32" s="1" t="s">
        <v>65</v>
      </c>
      <c r="C32" s="1">
        <v>30</v>
      </c>
      <c r="D32" s="1">
        <v>30</v>
      </c>
      <c r="E32" s="1">
        <f t="shared" si="0"/>
        <v>200</v>
      </c>
      <c r="F32" s="1">
        <f t="shared" si="0"/>
        <v>200</v>
      </c>
    </row>
    <row r="33" spans="1:6" x14ac:dyDescent="0.35">
      <c r="A33" s="1" t="s">
        <v>66</v>
      </c>
      <c r="B33" s="1" t="s">
        <v>67</v>
      </c>
      <c r="C33" s="1">
        <v>30</v>
      </c>
      <c r="D33" s="1">
        <v>30</v>
      </c>
      <c r="E33" s="1">
        <f t="shared" si="0"/>
        <v>200</v>
      </c>
      <c r="F33" s="1">
        <f t="shared" si="0"/>
        <v>200</v>
      </c>
    </row>
    <row r="34" spans="1:6" x14ac:dyDescent="0.35">
      <c r="A34" s="1" t="s">
        <v>68</v>
      </c>
      <c r="B34" s="1" t="s">
        <v>69</v>
      </c>
      <c r="C34" s="1">
        <v>30</v>
      </c>
      <c r="D34" s="1">
        <v>30</v>
      </c>
      <c r="E34" s="1">
        <f t="shared" si="0"/>
        <v>200</v>
      </c>
      <c r="F34" s="1">
        <f t="shared" si="0"/>
        <v>200</v>
      </c>
    </row>
    <row r="35" spans="1:6" x14ac:dyDescent="0.35">
      <c r="A35" s="1" t="s">
        <v>70</v>
      </c>
      <c r="B35" s="1" t="s">
        <v>71</v>
      </c>
      <c r="C35" s="1">
        <v>30</v>
      </c>
      <c r="D35" s="1">
        <v>291</v>
      </c>
      <c r="E35" s="1">
        <f t="shared" si="0"/>
        <v>200</v>
      </c>
      <c r="F35" s="1">
        <f t="shared" si="0"/>
        <v>291</v>
      </c>
    </row>
    <row r="36" spans="1:6" x14ac:dyDescent="0.35">
      <c r="A36" s="1" t="s">
        <v>72</v>
      </c>
      <c r="B36" s="1" t="s">
        <v>73</v>
      </c>
      <c r="C36" s="1">
        <v>312.8</v>
      </c>
      <c r="D36" s="1">
        <v>300</v>
      </c>
      <c r="E36" s="1">
        <f t="shared" si="0"/>
        <v>312.8</v>
      </c>
      <c r="F36" s="1">
        <f t="shared" si="0"/>
        <v>300</v>
      </c>
    </row>
    <row r="37" spans="1:6" x14ac:dyDescent="0.35">
      <c r="A37" s="1" t="s">
        <v>74</v>
      </c>
      <c r="B37" s="1" t="s">
        <v>75</v>
      </c>
      <c r="C37" s="1">
        <v>312.8</v>
      </c>
      <c r="D37" s="1">
        <v>312</v>
      </c>
      <c r="E37" s="1">
        <f t="shared" si="0"/>
        <v>312.8</v>
      </c>
      <c r="F37" s="1">
        <f t="shared" si="0"/>
        <v>312</v>
      </c>
    </row>
    <row r="38" spans="1:6" x14ac:dyDescent="0.35">
      <c r="A38" s="1" t="s">
        <v>76</v>
      </c>
      <c r="B38" s="1" t="s">
        <v>77</v>
      </c>
      <c r="C38" s="1">
        <v>312</v>
      </c>
      <c r="D38" s="1">
        <v>312</v>
      </c>
      <c r="E38" s="1">
        <f t="shared" si="0"/>
        <v>312</v>
      </c>
      <c r="F38" s="1">
        <f t="shared" si="0"/>
        <v>312</v>
      </c>
    </row>
    <row r="39" spans="1:6" x14ac:dyDescent="0.35">
      <c r="A39" s="1" t="s">
        <v>78</v>
      </c>
      <c r="B39" s="1" t="s">
        <v>79</v>
      </c>
      <c r="C39" s="1">
        <v>253</v>
      </c>
      <c r="D39" s="1">
        <v>270</v>
      </c>
      <c r="E39" s="1">
        <f t="shared" si="0"/>
        <v>253</v>
      </c>
      <c r="F39" s="1">
        <f t="shared" si="0"/>
        <v>270</v>
      </c>
    </row>
    <row r="40" spans="1:6" x14ac:dyDescent="0.35">
      <c r="A40" s="1" t="s">
        <v>80</v>
      </c>
      <c r="B40" s="1" t="s">
        <v>81</v>
      </c>
      <c r="C40" s="1">
        <v>30</v>
      </c>
      <c r="D40" s="1">
        <v>270</v>
      </c>
      <c r="E40" s="1">
        <f t="shared" si="0"/>
        <v>200</v>
      </c>
      <c r="F40" s="1">
        <f t="shared" si="0"/>
        <v>270</v>
      </c>
    </row>
    <row r="41" spans="1:6" x14ac:dyDescent="0.35">
      <c r="A41" s="1" t="s">
        <v>82</v>
      </c>
      <c r="B41" s="1" t="s">
        <v>83</v>
      </c>
      <c r="C41" s="1">
        <v>30</v>
      </c>
      <c r="D41" s="1">
        <v>30</v>
      </c>
      <c r="E41" s="1">
        <f t="shared" si="0"/>
        <v>200</v>
      </c>
      <c r="F41" s="1">
        <f t="shared" si="0"/>
        <v>200</v>
      </c>
    </row>
    <row r="42" spans="1:6" x14ac:dyDescent="0.35">
      <c r="A42" s="1" t="s">
        <v>84</v>
      </c>
      <c r="B42" s="1" t="s">
        <v>85</v>
      </c>
      <c r="C42" s="1">
        <v>30</v>
      </c>
      <c r="D42" s="1">
        <v>270</v>
      </c>
      <c r="E42" s="1">
        <f t="shared" si="0"/>
        <v>200</v>
      </c>
      <c r="F42" s="1">
        <f t="shared" si="0"/>
        <v>270</v>
      </c>
    </row>
    <row r="43" spans="1:6" x14ac:dyDescent="0.35">
      <c r="A43" s="1" t="s">
        <v>86</v>
      </c>
      <c r="B43" s="1" t="s">
        <v>87</v>
      </c>
      <c r="C43" s="1">
        <v>30</v>
      </c>
      <c r="D43" s="1">
        <v>312</v>
      </c>
      <c r="E43" s="1">
        <f t="shared" si="0"/>
        <v>200</v>
      </c>
      <c r="F43" s="1">
        <f t="shared" si="0"/>
        <v>312</v>
      </c>
    </row>
    <row r="44" spans="1:6" x14ac:dyDescent="0.35">
      <c r="A44" s="1" t="s">
        <v>88</v>
      </c>
      <c r="B44" s="1" t="s">
        <v>89</v>
      </c>
      <c r="C44" s="1">
        <v>30</v>
      </c>
      <c r="D44" s="1">
        <v>270</v>
      </c>
      <c r="E44" s="1">
        <f t="shared" si="0"/>
        <v>200</v>
      </c>
      <c r="F44" s="1">
        <f t="shared" si="0"/>
        <v>270</v>
      </c>
    </row>
    <row r="45" spans="1:6" x14ac:dyDescent="0.35">
      <c r="A45" s="1" t="s">
        <v>90</v>
      </c>
      <c r="B45" s="1" t="s">
        <v>91</v>
      </c>
      <c r="C45" s="1">
        <v>30</v>
      </c>
      <c r="D45" s="1">
        <v>270</v>
      </c>
      <c r="E45" s="1">
        <f t="shared" si="0"/>
        <v>200</v>
      </c>
      <c r="F45" s="1">
        <f t="shared" si="0"/>
        <v>270</v>
      </c>
    </row>
    <row r="46" spans="1:6" x14ac:dyDescent="0.35">
      <c r="A46" s="1" t="s">
        <v>92</v>
      </c>
      <c r="B46" s="1" t="s">
        <v>93</v>
      </c>
      <c r="C46" s="1">
        <v>30</v>
      </c>
      <c r="D46" s="1">
        <v>30</v>
      </c>
      <c r="E46" s="1">
        <f t="shared" si="0"/>
        <v>200</v>
      </c>
      <c r="F46" s="1">
        <f t="shared" si="0"/>
        <v>200</v>
      </c>
    </row>
    <row r="47" spans="1:6" x14ac:dyDescent="0.35">
      <c r="A47" s="1" t="s">
        <v>94</v>
      </c>
      <c r="B47" s="1" t="s">
        <v>95</v>
      </c>
      <c r="C47" s="1">
        <v>30</v>
      </c>
      <c r="D47" s="1">
        <v>30</v>
      </c>
      <c r="E47" s="1">
        <f t="shared" si="0"/>
        <v>200</v>
      </c>
      <c r="F47" s="1">
        <f t="shared" si="0"/>
        <v>200</v>
      </c>
    </row>
    <row r="48" spans="1:6" x14ac:dyDescent="0.35">
      <c r="A48" s="1" t="s">
        <v>96</v>
      </c>
      <c r="B48" s="1" t="s">
        <v>97</v>
      </c>
      <c r="C48" s="1">
        <v>30</v>
      </c>
      <c r="D48" s="1">
        <v>30</v>
      </c>
      <c r="E48" s="1">
        <f t="shared" si="0"/>
        <v>200</v>
      </c>
      <c r="F48" s="1">
        <f t="shared" si="0"/>
        <v>200</v>
      </c>
    </row>
    <row r="49" spans="1:6" x14ac:dyDescent="0.35">
      <c r="A49" s="1" t="s">
        <v>98</v>
      </c>
      <c r="B49" s="1" t="s">
        <v>99</v>
      </c>
      <c r="C49" s="1">
        <v>30</v>
      </c>
      <c r="D49" s="1">
        <v>30</v>
      </c>
      <c r="E49" s="1">
        <f t="shared" si="0"/>
        <v>200</v>
      </c>
      <c r="F49" s="1">
        <f t="shared" si="0"/>
        <v>200</v>
      </c>
    </row>
    <row r="50" spans="1:6" x14ac:dyDescent="0.35">
      <c r="A50" s="1" t="s">
        <v>100</v>
      </c>
      <c r="B50" s="1" t="s">
        <v>101</v>
      </c>
      <c r="C50" s="1">
        <v>30</v>
      </c>
      <c r="D50" s="1">
        <v>50</v>
      </c>
      <c r="E50" s="1">
        <f t="shared" si="0"/>
        <v>200</v>
      </c>
      <c r="F50" s="1">
        <f t="shared" si="0"/>
        <v>200</v>
      </c>
    </row>
    <row r="51" spans="1:6" x14ac:dyDescent="0.35">
      <c r="A51" s="1" t="s">
        <v>102</v>
      </c>
      <c r="B51" s="1" t="s">
        <v>103</v>
      </c>
      <c r="C51" s="1">
        <v>69.7</v>
      </c>
      <c r="D51" s="1">
        <v>205.8</v>
      </c>
      <c r="E51" s="1">
        <f t="shared" si="0"/>
        <v>200</v>
      </c>
      <c r="F51" s="1">
        <f t="shared" si="0"/>
        <v>205.8</v>
      </c>
    </row>
    <row r="52" spans="1:6" x14ac:dyDescent="0.35">
      <c r="A52" s="1" t="s">
        <v>104</v>
      </c>
      <c r="B52" s="1" t="s">
        <v>105</v>
      </c>
      <c r="C52" s="1">
        <v>221</v>
      </c>
      <c r="D52" s="1">
        <v>223</v>
      </c>
      <c r="E52" s="1">
        <f t="shared" si="0"/>
        <v>221</v>
      </c>
      <c r="F52" s="1">
        <f t="shared" si="0"/>
        <v>223</v>
      </c>
    </row>
    <row r="53" spans="1:6" x14ac:dyDescent="0.35">
      <c r="A53" s="1" t="s">
        <v>106</v>
      </c>
      <c r="B53" s="1" t="s">
        <v>107</v>
      </c>
      <c r="C53" s="1">
        <v>69.7</v>
      </c>
      <c r="D53" s="1">
        <v>205.8</v>
      </c>
      <c r="E53" s="1">
        <f t="shared" si="0"/>
        <v>200</v>
      </c>
      <c r="F53" s="1">
        <f t="shared" si="0"/>
        <v>205.8</v>
      </c>
    </row>
    <row r="54" spans="1:6" x14ac:dyDescent="0.35">
      <c r="A54" s="1" t="s">
        <v>108</v>
      </c>
      <c r="B54" s="1" t="s">
        <v>109</v>
      </c>
      <c r="C54" s="1">
        <v>30</v>
      </c>
      <c r="D54" s="1">
        <v>205.8</v>
      </c>
      <c r="E54" s="1">
        <f t="shared" si="0"/>
        <v>200</v>
      </c>
      <c r="F54" s="1">
        <f t="shared" si="0"/>
        <v>205.8</v>
      </c>
    </row>
    <row r="55" spans="1:6" x14ac:dyDescent="0.35">
      <c r="A55" s="1" t="s">
        <v>110</v>
      </c>
      <c r="B55" s="1" t="s">
        <v>111</v>
      </c>
      <c r="C55" s="1">
        <v>30</v>
      </c>
      <c r="D55" s="1">
        <v>50</v>
      </c>
      <c r="E55" s="1">
        <f t="shared" si="0"/>
        <v>200</v>
      </c>
      <c r="F55" s="1">
        <f t="shared" si="0"/>
        <v>200</v>
      </c>
    </row>
    <row r="56" spans="1:6" x14ac:dyDescent="0.35">
      <c r="A56" s="1" t="s">
        <v>112</v>
      </c>
      <c r="B56" s="1" t="s">
        <v>113</v>
      </c>
      <c r="C56" s="1">
        <v>30</v>
      </c>
      <c r="D56" s="1">
        <v>30</v>
      </c>
      <c r="E56" s="1">
        <f t="shared" si="0"/>
        <v>200</v>
      </c>
      <c r="F56" s="1">
        <f t="shared" si="0"/>
        <v>200</v>
      </c>
    </row>
    <row r="57" spans="1:6" x14ac:dyDescent="0.35">
      <c r="A57" s="1" t="s">
        <v>114</v>
      </c>
      <c r="B57" s="1" t="s">
        <v>115</v>
      </c>
      <c r="C57" s="1">
        <v>30</v>
      </c>
      <c r="D57" s="1">
        <v>30</v>
      </c>
      <c r="E57" s="1">
        <f t="shared" si="0"/>
        <v>200</v>
      </c>
      <c r="F57" s="1">
        <f t="shared" si="0"/>
        <v>200</v>
      </c>
    </row>
    <row r="58" spans="1:6" x14ac:dyDescent="0.35">
      <c r="A58" s="1" t="s">
        <v>116</v>
      </c>
      <c r="B58" s="1" t="s">
        <v>117</v>
      </c>
      <c r="C58" s="1">
        <v>30</v>
      </c>
      <c r="D58" s="1">
        <v>223</v>
      </c>
      <c r="E58" s="1">
        <f t="shared" si="0"/>
        <v>200</v>
      </c>
      <c r="F58" s="1">
        <f t="shared" si="0"/>
        <v>223</v>
      </c>
    </row>
    <row r="59" spans="1:6" x14ac:dyDescent="0.35">
      <c r="A59" s="1" t="s">
        <v>118</v>
      </c>
      <c r="B59" s="1" t="s">
        <v>119</v>
      </c>
      <c r="C59" s="1">
        <v>227</v>
      </c>
      <c r="D59" s="1">
        <v>223</v>
      </c>
      <c r="E59" s="1">
        <f t="shared" si="0"/>
        <v>227</v>
      </c>
      <c r="F59" s="1">
        <f t="shared" si="0"/>
        <v>223</v>
      </c>
    </row>
    <row r="60" spans="1:6" x14ac:dyDescent="0.35">
      <c r="A60" s="1" t="s">
        <v>120</v>
      </c>
      <c r="B60" s="1" t="s">
        <v>121</v>
      </c>
      <c r="C60" s="1">
        <v>222</v>
      </c>
      <c r="D60" s="1">
        <v>223</v>
      </c>
      <c r="E60" s="1">
        <f t="shared" si="0"/>
        <v>222</v>
      </c>
      <c r="F60" s="1">
        <f t="shared" si="0"/>
        <v>223</v>
      </c>
    </row>
    <row r="61" spans="1:6" x14ac:dyDescent="0.35">
      <c r="A61" s="1" t="s">
        <v>122</v>
      </c>
      <c r="B61" s="1" t="s">
        <v>123</v>
      </c>
      <c r="C61" s="1">
        <v>30</v>
      </c>
      <c r="D61" s="1">
        <v>50</v>
      </c>
      <c r="E61" s="1">
        <f t="shared" si="0"/>
        <v>200</v>
      </c>
      <c r="F61" s="1">
        <f t="shared" si="0"/>
        <v>200</v>
      </c>
    </row>
    <row r="62" spans="1:6" x14ac:dyDescent="0.35">
      <c r="A62" s="1" t="s">
        <v>124</v>
      </c>
      <c r="B62" s="1" t="s">
        <v>125</v>
      </c>
      <c r="C62" s="1">
        <v>199</v>
      </c>
      <c r="D62" s="1">
        <v>223</v>
      </c>
      <c r="E62" s="1">
        <f t="shared" si="0"/>
        <v>200</v>
      </c>
      <c r="F62" s="1">
        <f t="shared" si="0"/>
        <v>223</v>
      </c>
    </row>
    <row r="63" spans="1:6" x14ac:dyDescent="0.35">
      <c r="A63" s="1" t="s">
        <v>126</v>
      </c>
      <c r="B63" s="1" t="s">
        <v>127</v>
      </c>
      <c r="C63" s="1">
        <v>222</v>
      </c>
      <c r="D63" s="1">
        <v>258.10000000000002</v>
      </c>
      <c r="E63" s="1">
        <f t="shared" si="0"/>
        <v>222</v>
      </c>
      <c r="F63" s="1">
        <f t="shared" si="0"/>
        <v>258.10000000000002</v>
      </c>
    </row>
    <row r="64" spans="1:6" x14ac:dyDescent="0.35">
      <c r="A64" s="1" t="s">
        <v>128</v>
      </c>
      <c r="B64" s="1" t="s">
        <v>129</v>
      </c>
      <c r="C64" s="1">
        <v>312.8</v>
      </c>
      <c r="D64" s="1">
        <v>300.2</v>
      </c>
      <c r="E64" s="1">
        <f t="shared" si="0"/>
        <v>312.8</v>
      </c>
      <c r="F64" s="1">
        <f t="shared" si="0"/>
        <v>300.2</v>
      </c>
    </row>
    <row r="65" spans="1:6" x14ac:dyDescent="0.35">
      <c r="A65" s="1" t="s">
        <v>130</v>
      </c>
      <c r="B65" s="1" t="s">
        <v>131</v>
      </c>
      <c r="C65" s="1">
        <v>260</v>
      </c>
      <c r="D65" s="1">
        <v>265</v>
      </c>
      <c r="E65" s="1">
        <f t="shared" si="0"/>
        <v>260</v>
      </c>
      <c r="F65" s="1">
        <f t="shared" si="0"/>
        <v>265</v>
      </c>
    </row>
    <row r="66" spans="1:6" x14ac:dyDescent="0.35">
      <c r="A66" s="1" t="s">
        <v>132</v>
      </c>
      <c r="B66" s="1" t="s">
        <v>133</v>
      </c>
      <c r="C66" s="1">
        <v>250</v>
      </c>
      <c r="D66" s="1">
        <v>261</v>
      </c>
      <c r="E66" s="1">
        <f t="shared" si="0"/>
        <v>250</v>
      </c>
      <c r="F66" s="1">
        <f t="shared" si="0"/>
        <v>261</v>
      </c>
    </row>
    <row r="67" spans="1:6" x14ac:dyDescent="0.35">
      <c r="A67" s="1" t="s">
        <v>134</v>
      </c>
      <c r="B67" s="1" t="s">
        <v>135</v>
      </c>
      <c r="C67" s="1">
        <v>222</v>
      </c>
      <c r="D67" s="1">
        <v>300.2</v>
      </c>
      <c r="E67" s="1">
        <f t="shared" ref="E67:F97" si="1">MAX(200,MIN(C67,600))</f>
        <v>222</v>
      </c>
      <c r="F67" s="1">
        <f t="shared" si="1"/>
        <v>300.2</v>
      </c>
    </row>
    <row r="68" spans="1:6" x14ac:dyDescent="0.35">
      <c r="A68" s="1" t="s">
        <v>136</v>
      </c>
      <c r="B68" s="1" t="s">
        <v>137</v>
      </c>
      <c r="C68" s="1">
        <v>199</v>
      </c>
      <c r="D68" s="1">
        <v>300.2</v>
      </c>
      <c r="E68" s="1">
        <f t="shared" si="1"/>
        <v>200</v>
      </c>
      <c r="F68" s="1">
        <f t="shared" si="1"/>
        <v>300.2</v>
      </c>
    </row>
    <row r="69" spans="1:6" x14ac:dyDescent="0.35">
      <c r="A69" s="1" t="s">
        <v>138</v>
      </c>
      <c r="B69" s="1" t="s">
        <v>139</v>
      </c>
      <c r="C69" s="1">
        <v>30</v>
      </c>
      <c r="D69" s="1">
        <v>261</v>
      </c>
      <c r="E69" s="1">
        <f t="shared" si="1"/>
        <v>200</v>
      </c>
      <c r="F69" s="1">
        <f t="shared" si="1"/>
        <v>261</v>
      </c>
    </row>
    <row r="70" spans="1:6" x14ac:dyDescent="0.35">
      <c r="A70" s="1" t="s">
        <v>140</v>
      </c>
      <c r="B70" s="1" t="s">
        <v>141</v>
      </c>
      <c r="C70" s="1">
        <v>30</v>
      </c>
      <c r="D70" s="1">
        <v>258.10000000000002</v>
      </c>
      <c r="E70" s="1">
        <f t="shared" si="1"/>
        <v>200</v>
      </c>
      <c r="F70" s="1">
        <f t="shared" si="1"/>
        <v>258.10000000000002</v>
      </c>
    </row>
    <row r="71" spans="1:6" x14ac:dyDescent="0.35">
      <c r="A71" s="1" t="s">
        <v>142</v>
      </c>
      <c r="B71" s="1" t="s">
        <v>143</v>
      </c>
      <c r="C71" s="1">
        <v>30</v>
      </c>
      <c r="D71" s="1">
        <v>210.2</v>
      </c>
      <c r="E71" s="1">
        <f t="shared" si="1"/>
        <v>200</v>
      </c>
      <c r="F71" s="1">
        <f t="shared" si="1"/>
        <v>210.2</v>
      </c>
    </row>
    <row r="72" spans="1:6" x14ac:dyDescent="0.35">
      <c r="A72" s="1" t="s">
        <v>144</v>
      </c>
      <c r="B72" s="1" t="s">
        <v>145</v>
      </c>
      <c r="C72" s="1">
        <v>227</v>
      </c>
      <c r="D72" s="1">
        <v>205.8</v>
      </c>
      <c r="E72" s="1">
        <f t="shared" si="1"/>
        <v>227</v>
      </c>
      <c r="F72" s="1">
        <f t="shared" si="1"/>
        <v>205.8</v>
      </c>
    </row>
    <row r="73" spans="1:6" x14ac:dyDescent="0.35">
      <c r="A73" s="1" t="s">
        <v>146</v>
      </c>
      <c r="B73" s="1" t="s">
        <v>147</v>
      </c>
      <c r="C73" s="1">
        <v>273</v>
      </c>
      <c r="D73" s="1">
        <v>223</v>
      </c>
      <c r="E73" s="1">
        <f t="shared" si="1"/>
        <v>273</v>
      </c>
      <c r="F73" s="1">
        <f t="shared" si="1"/>
        <v>223</v>
      </c>
    </row>
    <row r="74" spans="1:6" x14ac:dyDescent="0.35">
      <c r="A74" s="1" t="s">
        <v>148</v>
      </c>
      <c r="B74" s="1" t="s">
        <v>149</v>
      </c>
      <c r="C74" s="1">
        <v>273</v>
      </c>
      <c r="D74" s="1">
        <v>223</v>
      </c>
      <c r="E74" s="1">
        <f t="shared" si="1"/>
        <v>273</v>
      </c>
      <c r="F74" s="1">
        <f t="shared" si="1"/>
        <v>223</v>
      </c>
    </row>
    <row r="75" spans="1:6" x14ac:dyDescent="0.35">
      <c r="A75" s="1" t="s">
        <v>150</v>
      </c>
      <c r="B75" s="1" t="s">
        <v>151</v>
      </c>
      <c r="C75" s="1">
        <v>253</v>
      </c>
      <c r="D75" s="1">
        <v>223</v>
      </c>
      <c r="E75" s="1">
        <f t="shared" si="1"/>
        <v>253</v>
      </c>
      <c r="F75" s="1">
        <f t="shared" si="1"/>
        <v>223</v>
      </c>
    </row>
    <row r="76" spans="1:6" x14ac:dyDescent="0.35">
      <c r="A76" s="1" t="s">
        <v>152</v>
      </c>
      <c r="B76" s="1" t="s">
        <v>153</v>
      </c>
      <c r="C76" s="1">
        <v>227</v>
      </c>
      <c r="D76" s="1">
        <v>205.8</v>
      </c>
      <c r="E76" s="1">
        <f t="shared" si="1"/>
        <v>227</v>
      </c>
      <c r="F76" s="1">
        <f t="shared" si="1"/>
        <v>205.8</v>
      </c>
    </row>
    <row r="77" spans="1:6" x14ac:dyDescent="0.35">
      <c r="A77" s="1" t="s">
        <v>154</v>
      </c>
      <c r="B77" s="1" t="s">
        <v>155</v>
      </c>
      <c r="C77" s="1">
        <v>69.7</v>
      </c>
      <c r="D77" s="1">
        <v>50</v>
      </c>
      <c r="E77" s="1">
        <f t="shared" si="1"/>
        <v>200</v>
      </c>
      <c r="F77" s="1">
        <f t="shared" si="1"/>
        <v>200</v>
      </c>
    </row>
    <row r="78" spans="1:6" x14ac:dyDescent="0.35">
      <c r="A78" s="1" t="s">
        <v>156</v>
      </c>
      <c r="B78" s="1" t="s">
        <v>157</v>
      </c>
      <c r="C78" s="1">
        <v>30</v>
      </c>
      <c r="D78" s="1">
        <v>100</v>
      </c>
      <c r="E78" s="1">
        <f t="shared" si="1"/>
        <v>200</v>
      </c>
      <c r="F78" s="1">
        <f t="shared" si="1"/>
        <v>200</v>
      </c>
    </row>
    <row r="79" spans="1:6" x14ac:dyDescent="0.35">
      <c r="A79" s="1" t="s">
        <v>158</v>
      </c>
      <c r="B79" s="1" t="s">
        <v>159</v>
      </c>
      <c r="C79" s="1">
        <v>30</v>
      </c>
      <c r="D79" s="1">
        <v>300</v>
      </c>
      <c r="E79" s="1">
        <f t="shared" si="1"/>
        <v>200</v>
      </c>
      <c r="F79" s="1">
        <f t="shared" si="1"/>
        <v>300</v>
      </c>
    </row>
    <row r="80" spans="1:6" x14ac:dyDescent="0.35">
      <c r="A80" s="1" t="s">
        <v>160</v>
      </c>
      <c r="B80" s="1" t="s">
        <v>161</v>
      </c>
      <c r="C80" s="1">
        <v>30</v>
      </c>
      <c r="D80" s="1">
        <v>300</v>
      </c>
      <c r="E80" s="1">
        <f t="shared" si="1"/>
        <v>200</v>
      </c>
      <c r="F80" s="1">
        <f t="shared" si="1"/>
        <v>300</v>
      </c>
    </row>
    <row r="81" spans="1:6" x14ac:dyDescent="0.35">
      <c r="A81" s="1" t="s">
        <v>162</v>
      </c>
      <c r="B81" s="1" t="s">
        <v>163</v>
      </c>
      <c r="C81" s="1">
        <v>253</v>
      </c>
      <c r="D81" s="1">
        <v>300</v>
      </c>
      <c r="E81" s="1">
        <f t="shared" si="1"/>
        <v>253</v>
      </c>
      <c r="F81" s="1">
        <f t="shared" si="1"/>
        <v>300</v>
      </c>
    </row>
    <row r="82" spans="1:6" x14ac:dyDescent="0.35">
      <c r="A82" s="1" t="s">
        <v>164</v>
      </c>
      <c r="B82" s="1" t="s">
        <v>165</v>
      </c>
      <c r="C82" s="1">
        <v>273</v>
      </c>
      <c r="D82" s="1">
        <v>300</v>
      </c>
      <c r="E82" s="1">
        <f t="shared" si="1"/>
        <v>273</v>
      </c>
      <c r="F82" s="1">
        <f t="shared" si="1"/>
        <v>300</v>
      </c>
    </row>
    <row r="83" spans="1:6" x14ac:dyDescent="0.35">
      <c r="A83" s="1" t="s">
        <v>166</v>
      </c>
      <c r="B83" s="1" t="s">
        <v>167</v>
      </c>
      <c r="C83" s="1">
        <v>273</v>
      </c>
      <c r="D83" s="1">
        <v>300</v>
      </c>
      <c r="E83" s="1">
        <f t="shared" si="1"/>
        <v>273</v>
      </c>
      <c r="F83" s="1">
        <f t="shared" si="1"/>
        <v>300</v>
      </c>
    </row>
    <row r="84" spans="1:6" x14ac:dyDescent="0.35">
      <c r="A84" s="1" t="s">
        <v>168</v>
      </c>
      <c r="B84" s="1" t="s">
        <v>169</v>
      </c>
      <c r="C84" s="1">
        <v>273</v>
      </c>
      <c r="D84" s="1">
        <v>300</v>
      </c>
      <c r="E84" s="1">
        <f t="shared" si="1"/>
        <v>273</v>
      </c>
      <c r="F84" s="1">
        <f t="shared" si="1"/>
        <v>300</v>
      </c>
    </row>
    <row r="85" spans="1:6" x14ac:dyDescent="0.35">
      <c r="A85" s="1" t="s">
        <v>170</v>
      </c>
      <c r="B85" s="1" t="s">
        <v>171</v>
      </c>
      <c r="C85" s="1">
        <v>273</v>
      </c>
      <c r="D85" s="1">
        <v>300</v>
      </c>
      <c r="E85" s="1">
        <f t="shared" si="1"/>
        <v>273</v>
      </c>
      <c r="F85" s="1">
        <f t="shared" si="1"/>
        <v>300</v>
      </c>
    </row>
    <row r="86" spans="1:6" x14ac:dyDescent="0.35">
      <c r="A86" s="1" t="s">
        <v>172</v>
      </c>
      <c r="B86" s="1" t="s">
        <v>173</v>
      </c>
      <c r="C86" s="1">
        <v>273</v>
      </c>
      <c r="D86" s="1">
        <v>300</v>
      </c>
      <c r="E86" s="1">
        <f t="shared" si="1"/>
        <v>273</v>
      </c>
      <c r="F86" s="1">
        <f t="shared" si="1"/>
        <v>300</v>
      </c>
    </row>
    <row r="87" spans="1:6" x14ac:dyDescent="0.35">
      <c r="A87" s="1" t="s">
        <v>174</v>
      </c>
      <c r="B87" s="1" t="s">
        <v>175</v>
      </c>
      <c r="C87" s="1">
        <v>260</v>
      </c>
      <c r="D87" s="1">
        <v>300</v>
      </c>
      <c r="E87" s="1">
        <f t="shared" si="1"/>
        <v>260</v>
      </c>
      <c r="F87" s="1">
        <f t="shared" si="1"/>
        <v>300</v>
      </c>
    </row>
    <row r="88" spans="1:6" x14ac:dyDescent="0.35">
      <c r="A88" s="1" t="s">
        <v>176</v>
      </c>
      <c r="B88" s="1" t="s">
        <v>177</v>
      </c>
      <c r="C88" s="1">
        <v>260</v>
      </c>
      <c r="D88" s="1">
        <v>300</v>
      </c>
      <c r="E88" s="1">
        <f t="shared" si="1"/>
        <v>260</v>
      </c>
      <c r="F88" s="1">
        <f t="shared" si="1"/>
        <v>300</v>
      </c>
    </row>
    <row r="89" spans="1:6" x14ac:dyDescent="0.35">
      <c r="A89" s="1" t="s">
        <v>178</v>
      </c>
      <c r="B89" s="1" t="s">
        <v>179</v>
      </c>
      <c r="C89" s="1">
        <v>258</v>
      </c>
      <c r="D89" s="1">
        <v>300</v>
      </c>
      <c r="E89" s="1">
        <f t="shared" si="1"/>
        <v>258</v>
      </c>
      <c r="F89" s="1">
        <f t="shared" si="1"/>
        <v>300</v>
      </c>
    </row>
    <row r="90" spans="1:6" x14ac:dyDescent="0.35">
      <c r="A90" s="1" t="s">
        <v>180</v>
      </c>
      <c r="B90" s="1" t="s">
        <v>181</v>
      </c>
      <c r="C90" s="1">
        <v>300</v>
      </c>
      <c r="D90" s="1">
        <v>300</v>
      </c>
      <c r="E90" s="1">
        <f t="shared" si="1"/>
        <v>300</v>
      </c>
      <c r="F90" s="1">
        <f t="shared" si="1"/>
        <v>300</v>
      </c>
    </row>
    <row r="91" spans="1:6" x14ac:dyDescent="0.35">
      <c r="A91" s="1" t="s">
        <v>182</v>
      </c>
      <c r="B91" s="1" t="s">
        <v>183</v>
      </c>
      <c r="C91" s="1">
        <v>273</v>
      </c>
      <c r="D91" s="1">
        <v>300</v>
      </c>
      <c r="E91" s="1">
        <f t="shared" si="1"/>
        <v>273</v>
      </c>
      <c r="F91" s="1">
        <f t="shared" si="1"/>
        <v>300</v>
      </c>
    </row>
    <row r="92" spans="1:6" x14ac:dyDescent="0.35">
      <c r="A92" s="1" t="s">
        <v>184</v>
      </c>
      <c r="B92" s="1" t="s">
        <v>185</v>
      </c>
      <c r="C92" s="1">
        <v>260</v>
      </c>
      <c r="D92" s="1">
        <v>300</v>
      </c>
      <c r="E92" s="1">
        <f t="shared" si="1"/>
        <v>260</v>
      </c>
      <c r="F92" s="1">
        <f t="shared" si="1"/>
        <v>300</v>
      </c>
    </row>
    <row r="93" spans="1:6" x14ac:dyDescent="0.35">
      <c r="A93" s="1" t="s">
        <v>186</v>
      </c>
      <c r="B93" s="1" t="s">
        <v>187</v>
      </c>
      <c r="C93" s="1">
        <v>260</v>
      </c>
      <c r="D93" s="1">
        <v>300</v>
      </c>
      <c r="E93" s="1">
        <f t="shared" si="1"/>
        <v>260</v>
      </c>
      <c r="F93" s="1">
        <f t="shared" si="1"/>
        <v>300</v>
      </c>
    </row>
    <row r="94" spans="1:6" x14ac:dyDescent="0.35">
      <c r="A94" s="1" t="s">
        <v>188</v>
      </c>
      <c r="B94" s="1" t="s">
        <v>189</v>
      </c>
      <c r="C94" s="1">
        <v>260</v>
      </c>
      <c r="D94" s="1">
        <v>300</v>
      </c>
      <c r="E94" s="1">
        <f t="shared" si="1"/>
        <v>260</v>
      </c>
      <c r="F94" s="1">
        <f t="shared" si="1"/>
        <v>300</v>
      </c>
    </row>
    <row r="95" spans="1:6" x14ac:dyDescent="0.35">
      <c r="A95" s="1" t="s">
        <v>190</v>
      </c>
      <c r="B95" s="1" t="s">
        <v>191</v>
      </c>
      <c r="C95" s="1">
        <v>260</v>
      </c>
      <c r="D95" s="1">
        <v>300.2</v>
      </c>
      <c r="E95" s="1">
        <f t="shared" si="1"/>
        <v>260</v>
      </c>
      <c r="F95" s="1">
        <f t="shared" si="1"/>
        <v>300.2</v>
      </c>
    </row>
    <row r="96" spans="1:6" x14ac:dyDescent="0.35">
      <c r="A96" s="1" t="s">
        <v>192</v>
      </c>
      <c r="B96" s="1" t="s">
        <v>193</v>
      </c>
      <c r="C96" s="1">
        <v>258</v>
      </c>
      <c r="D96" s="1">
        <v>300.2</v>
      </c>
      <c r="E96" s="1">
        <f t="shared" si="1"/>
        <v>258</v>
      </c>
      <c r="F96" s="1">
        <f t="shared" si="1"/>
        <v>300.2</v>
      </c>
    </row>
    <row r="97" spans="1:6" x14ac:dyDescent="0.35">
      <c r="A97" s="1" t="s">
        <v>194</v>
      </c>
      <c r="B97" s="1" t="s">
        <v>195</v>
      </c>
      <c r="C97" s="1">
        <v>260</v>
      </c>
      <c r="D97" s="1">
        <v>300.2</v>
      </c>
      <c r="E97" s="1">
        <f t="shared" si="1"/>
        <v>260</v>
      </c>
      <c r="F97" s="1">
        <f t="shared" si="1"/>
        <v>300.2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I97"/>
  <sheetViews>
    <sheetView topLeftCell="D1" workbookViewId="0">
      <selection activeCell="F20" sqref="F20"/>
    </sheetView>
  </sheetViews>
  <sheetFormatPr defaultRowHeight="14.15" x14ac:dyDescent="0.35"/>
  <cols>
    <col min="2" max="3" width="27.92578125" bestFit="1" customWidth="1"/>
  </cols>
  <sheetData>
    <row r="1" spans="2:9" x14ac:dyDescent="0.35">
      <c r="B1" s="1" t="s">
        <v>2</v>
      </c>
      <c r="C1" s="1" t="s">
        <v>3</v>
      </c>
      <c r="G1" s="3"/>
      <c r="H1" s="3" t="s">
        <v>196</v>
      </c>
      <c r="I1" s="3" t="s">
        <v>197</v>
      </c>
    </row>
    <row r="2" spans="2:9" x14ac:dyDescent="0.35">
      <c r="B2" s="1">
        <v>312.8</v>
      </c>
      <c r="C2" s="1">
        <v>300</v>
      </c>
      <c r="D2" s="2">
        <f>AVERAGE(B2:B97)</f>
        <v>238.37083333333331</v>
      </c>
      <c r="E2" s="2">
        <f>AVERAGE(C2:C97)</f>
        <v>253.42916666666667</v>
      </c>
      <c r="G2" s="3" t="s">
        <v>198</v>
      </c>
      <c r="H2" s="3">
        <f ca="1">AVERAGE(OFFSET(B$2,4*(ROW()-2),0,4,1))</f>
        <v>312.8</v>
      </c>
      <c r="I2" s="3">
        <f ca="1">AVERAGE(OFFSET(C$2,4*(ROW()-2),0,4,1))</f>
        <v>300.75</v>
      </c>
    </row>
    <row r="3" spans="2:9" x14ac:dyDescent="0.35">
      <c r="B3" s="1">
        <v>312.8</v>
      </c>
      <c r="C3" s="1">
        <v>312</v>
      </c>
      <c r="G3" s="3" t="s">
        <v>199</v>
      </c>
      <c r="H3" s="3">
        <f t="shared" ref="H3:I25" ca="1" si="0">AVERAGE(OFFSET(B$2,4*(ROW()-2),0,4,1))</f>
        <v>272.25</v>
      </c>
      <c r="I3" s="3">
        <f t="shared" ca="1" si="0"/>
        <v>264</v>
      </c>
    </row>
    <row r="4" spans="2:9" x14ac:dyDescent="0.35">
      <c r="B4" s="1">
        <v>312.8</v>
      </c>
      <c r="C4" s="1">
        <v>300</v>
      </c>
      <c r="G4" s="3" t="s">
        <v>200</v>
      </c>
      <c r="H4" s="3">
        <f t="shared" ca="1" si="0"/>
        <v>262.5</v>
      </c>
      <c r="I4" s="3">
        <f t="shared" ca="1" si="0"/>
        <v>265</v>
      </c>
    </row>
    <row r="5" spans="2:9" x14ac:dyDescent="0.35">
      <c r="B5" s="1">
        <v>312.8</v>
      </c>
      <c r="C5" s="1">
        <v>291</v>
      </c>
      <c r="G5" s="3" t="s">
        <v>201</v>
      </c>
      <c r="H5" s="3">
        <f t="shared" ca="1" si="0"/>
        <v>252</v>
      </c>
      <c r="I5" s="3">
        <f t="shared" ca="1" si="0"/>
        <v>253.75</v>
      </c>
    </row>
    <row r="6" spans="2:9" x14ac:dyDescent="0.35">
      <c r="B6" s="1">
        <v>273</v>
      </c>
      <c r="C6" s="1">
        <v>262</v>
      </c>
      <c r="G6" s="3" t="s">
        <v>202</v>
      </c>
      <c r="H6" s="3">
        <f t="shared" ca="1" si="0"/>
        <v>243</v>
      </c>
      <c r="I6" s="3">
        <f t="shared" ca="1" si="0"/>
        <v>245.25</v>
      </c>
    </row>
    <row r="7" spans="2:9" x14ac:dyDescent="0.35">
      <c r="B7" s="1">
        <v>273</v>
      </c>
      <c r="C7" s="1">
        <v>262</v>
      </c>
      <c r="G7" s="3" t="s">
        <v>203</v>
      </c>
      <c r="H7" s="3">
        <f t="shared" ca="1" si="0"/>
        <v>239.25</v>
      </c>
      <c r="I7" s="3">
        <f t="shared" ca="1" si="0"/>
        <v>238</v>
      </c>
    </row>
    <row r="8" spans="2:9" x14ac:dyDescent="0.35">
      <c r="B8" s="1">
        <v>273</v>
      </c>
      <c r="C8" s="1">
        <v>262</v>
      </c>
      <c r="G8" s="3" t="s">
        <v>204</v>
      </c>
      <c r="H8" s="3">
        <f t="shared" ca="1" si="0"/>
        <v>212.25</v>
      </c>
      <c r="I8" s="3">
        <f t="shared" ca="1" si="0"/>
        <v>214.39999999999998</v>
      </c>
    </row>
    <row r="9" spans="2:9" x14ac:dyDescent="0.35">
      <c r="B9" s="1">
        <v>270</v>
      </c>
      <c r="C9" s="1">
        <v>270</v>
      </c>
      <c r="G9" s="3" t="s">
        <v>205</v>
      </c>
      <c r="H9" s="3">
        <f t="shared" ca="1" si="0"/>
        <v>200</v>
      </c>
      <c r="I9" s="3">
        <f t="shared" ca="1" si="0"/>
        <v>200</v>
      </c>
    </row>
    <row r="10" spans="2:9" x14ac:dyDescent="0.35">
      <c r="B10" s="1">
        <v>270</v>
      </c>
      <c r="C10" s="1">
        <v>270</v>
      </c>
      <c r="G10" s="3" t="s">
        <v>206</v>
      </c>
      <c r="H10" s="3">
        <f t="shared" ca="1" si="0"/>
        <v>256.39999999999998</v>
      </c>
      <c r="I10" s="3">
        <f t="shared" ca="1" si="0"/>
        <v>275.75</v>
      </c>
    </row>
    <row r="11" spans="2:9" x14ac:dyDescent="0.35">
      <c r="B11" s="1">
        <v>260</v>
      </c>
      <c r="C11" s="1">
        <v>270</v>
      </c>
      <c r="G11" s="3" t="s">
        <v>207</v>
      </c>
      <c r="H11" s="3">
        <f t="shared" ca="1" si="0"/>
        <v>241.25</v>
      </c>
      <c r="I11" s="3">
        <f t="shared" ca="1" si="0"/>
        <v>263</v>
      </c>
    </row>
    <row r="12" spans="2:9" x14ac:dyDescent="0.35">
      <c r="B12" s="1">
        <v>260</v>
      </c>
      <c r="C12" s="1">
        <v>260</v>
      </c>
      <c r="G12" s="3" t="s">
        <v>208</v>
      </c>
      <c r="H12" s="3">
        <f t="shared" ca="1" si="0"/>
        <v>200</v>
      </c>
      <c r="I12" s="3">
        <f t="shared" ca="1" si="0"/>
        <v>280.5</v>
      </c>
    </row>
    <row r="13" spans="2:9" x14ac:dyDescent="0.35">
      <c r="B13" s="1">
        <v>260</v>
      </c>
      <c r="C13" s="1">
        <v>260</v>
      </c>
      <c r="G13" s="3" t="s">
        <v>209</v>
      </c>
      <c r="H13" s="3">
        <f t="shared" ca="1" si="0"/>
        <v>200</v>
      </c>
      <c r="I13" s="3">
        <f t="shared" ca="1" si="0"/>
        <v>200</v>
      </c>
    </row>
    <row r="14" spans="2:9" x14ac:dyDescent="0.35">
      <c r="B14" s="1">
        <v>258</v>
      </c>
      <c r="C14" s="1">
        <v>259</v>
      </c>
      <c r="G14" s="3" t="s">
        <v>210</v>
      </c>
      <c r="H14" s="3">
        <f t="shared" ca="1" si="0"/>
        <v>205.25</v>
      </c>
      <c r="I14" s="3">
        <f t="shared" ca="1" si="0"/>
        <v>208.64999999999998</v>
      </c>
    </row>
    <row r="15" spans="2:9" x14ac:dyDescent="0.35">
      <c r="B15" s="1">
        <v>251</v>
      </c>
      <c r="C15" s="1">
        <v>258</v>
      </c>
      <c r="G15" s="3" t="s">
        <v>211</v>
      </c>
      <c r="H15" s="3">
        <f t="shared" ca="1" si="0"/>
        <v>200</v>
      </c>
      <c r="I15" s="3">
        <f t="shared" ca="1" si="0"/>
        <v>201.45</v>
      </c>
    </row>
    <row r="16" spans="2:9" x14ac:dyDescent="0.35">
      <c r="B16" s="1">
        <v>250</v>
      </c>
      <c r="C16" s="1">
        <v>250</v>
      </c>
      <c r="G16" s="3" t="s">
        <v>212</v>
      </c>
      <c r="H16" s="3">
        <f t="shared" ca="1" si="0"/>
        <v>212.25</v>
      </c>
      <c r="I16" s="3">
        <f t="shared" ca="1" si="0"/>
        <v>217.25</v>
      </c>
    </row>
    <row r="17" spans="2:9" x14ac:dyDescent="0.35">
      <c r="B17" s="1">
        <v>249</v>
      </c>
      <c r="C17" s="1">
        <v>248</v>
      </c>
      <c r="G17" s="3" t="s">
        <v>213</v>
      </c>
      <c r="H17" s="3">
        <f t="shared" ca="1" si="0"/>
        <v>248.7</v>
      </c>
      <c r="I17" s="3">
        <f t="shared" ca="1" si="0"/>
        <v>261.57499999999999</v>
      </c>
    </row>
    <row r="18" spans="2:9" x14ac:dyDescent="0.35">
      <c r="B18" s="1">
        <v>245</v>
      </c>
      <c r="C18" s="1">
        <v>248</v>
      </c>
      <c r="G18" s="3" t="s">
        <v>214</v>
      </c>
      <c r="H18" s="3">
        <f t="shared" ca="1" si="0"/>
        <v>218</v>
      </c>
      <c r="I18" s="3">
        <f t="shared" ca="1" si="0"/>
        <v>280.60000000000002</v>
      </c>
    </row>
    <row r="19" spans="2:9" x14ac:dyDescent="0.35">
      <c r="B19" s="1">
        <v>245</v>
      </c>
      <c r="C19" s="1">
        <v>245</v>
      </c>
      <c r="G19" s="3" t="s">
        <v>215</v>
      </c>
      <c r="H19" s="3">
        <f t="shared" ca="1" si="0"/>
        <v>225</v>
      </c>
      <c r="I19" s="3">
        <f t="shared" ca="1" si="0"/>
        <v>224.27500000000001</v>
      </c>
    </row>
    <row r="20" spans="2:9" x14ac:dyDescent="0.35">
      <c r="B20" s="1">
        <v>241</v>
      </c>
      <c r="C20" s="1">
        <v>244</v>
      </c>
      <c r="G20" s="3" t="s">
        <v>216</v>
      </c>
      <c r="H20" s="3">
        <f t="shared" ca="1" si="0"/>
        <v>238.25</v>
      </c>
      <c r="I20" s="3">
        <f t="shared" ca="1" si="0"/>
        <v>212.95</v>
      </c>
    </row>
    <row r="21" spans="2:9" x14ac:dyDescent="0.35">
      <c r="B21" s="1">
        <v>241</v>
      </c>
      <c r="C21" s="1">
        <v>244</v>
      </c>
      <c r="G21" s="3" t="s">
        <v>217</v>
      </c>
      <c r="H21" s="3">
        <f t="shared" ca="1" si="0"/>
        <v>213.25</v>
      </c>
      <c r="I21" s="3">
        <f t="shared" ca="1" si="0"/>
        <v>275</v>
      </c>
    </row>
    <row r="22" spans="2:9" x14ac:dyDescent="0.35">
      <c r="B22" s="1">
        <v>249</v>
      </c>
      <c r="C22" s="1">
        <v>248</v>
      </c>
      <c r="G22" s="3" t="s">
        <v>218</v>
      </c>
      <c r="H22" s="3">
        <f t="shared" ca="1" si="0"/>
        <v>273</v>
      </c>
      <c r="I22" s="3">
        <f t="shared" ca="1" si="0"/>
        <v>300</v>
      </c>
    </row>
    <row r="23" spans="2:9" x14ac:dyDescent="0.35">
      <c r="B23" s="1">
        <v>241</v>
      </c>
      <c r="C23" s="1">
        <v>244</v>
      </c>
      <c r="G23" s="3" t="s">
        <v>219</v>
      </c>
      <c r="H23" s="3">
        <f t="shared" ca="1" si="0"/>
        <v>262.75</v>
      </c>
      <c r="I23" s="3">
        <f t="shared" ca="1" si="0"/>
        <v>300</v>
      </c>
    </row>
    <row r="24" spans="2:9" x14ac:dyDescent="0.35">
      <c r="B24" s="1">
        <v>239</v>
      </c>
      <c r="C24" s="1">
        <v>230</v>
      </c>
      <c r="G24" s="3" t="s">
        <v>220</v>
      </c>
      <c r="H24" s="3">
        <f t="shared" ca="1" si="0"/>
        <v>273.25</v>
      </c>
      <c r="I24" s="3">
        <f t="shared" ca="1" si="0"/>
        <v>300</v>
      </c>
    </row>
    <row r="25" spans="2:9" x14ac:dyDescent="0.35">
      <c r="B25" s="1">
        <v>228</v>
      </c>
      <c r="C25" s="1">
        <v>230</v>
      </c>
      <c r="G25" s="3" t="s">
        <v>221</v>
      </c>
      <c r="H25" s="3">
        <f t="shared" ca="1" si="0"/>
        <v>259.5</v>
      </c>
      <c r="I25" s="3">
        <f t="shared" ca="1" si="0"/>
        <v>300.15000000000003</v>
      </c>
    </row>
    <row r="26" spans="2:9" x14ac:dyDescent="0.35">
      <c r="B26" s="1">
        <v>227</v>
      </c>
      <c r="C26" s="1">
        <v>223</v>
      </c>
    </row>
    <row r="27" spans="2:9" x14ac:dyDescent="0.35">
      <c r="B27" s="1">
        <v>222</v>
      </c>
      <c r="C27" s="1">
        <v>223</v>
      </c>
      <c r="I27" s="4">
        <f ca="1">AVERAGE(H2:I25)</f>
        <v>245.9</v>
      </c>
    </row>
    <row r="28" spans="2:9" x14ac:dyDescent="0.35">
      <c r="B28" s="1">
        <v>200</v>
      </c>
      <c r="C28" s="1">
        <v>205.8</v>
      </c>
    </row>
    <row r="29" spans="2:9" x14ac:dyDescent="0.35">
      <c r="B29" s="1">
        <v>200</v>
      </c>
      <c r="C29" s="1">
        <v>205.8</v>
      </c>
    </row>
    <row r="30" spans="2:9" x14ac:dyDescent="0.35">
      <c r="B30" s="1">
        <v>200</v>
      </c>
      <c r="C30" s="1">
        <v>200</v>
      </c>
    </row>
    <row r="31" spans="2:9" x14ac:dyDescent="0.35">
      <c r="B31" s="1">
        <v>200</v>
      </c>
      <c r="C31" s="1">
        <v>200</v>
      </c>
    </row>
    <row r="32" spans="2:9" x14ac:dyDescent="0.35">
      <c r="B32" s="1">
        <v>200</v>
      </c>
      <c r="C32" s="1">
        <v>200</v>
      </c>
    </row>
    <row r="33" spans="2:3" x14ac:dyDescent="0.35">
      <c r="B33" s="1">
        <v>200</v>
      </c>
      <c r="C33" s="1">
        <v>200</v>
      </c>
    </row>
    <row r="34" spans="2:3" x14ac:dyDescent="0.35">
      <c r="B34" s="1">
        <v>200</v>
      </c>
      <c r="C34" s="1">
        <v>200</v>
      </c>
    </row>
    <row r="35" spans="2:3" x14ac:dyDescent="0.35">
      <c r="B35" s="1">
        <v>200</v>
      </c>
      <c r="C35" s="1">
        <v>291</v>
      </c>
    </row>
    <row r="36" spans="2:3" x14ac:dyDescent="0.35">
      <c r="B36" s="1">
        <v>312.8</v>
      </c>
      <c r="C36" s="1">
        <v>300</v>
      </c>
    </row>
    <row r="37" spans="2:3" x14ac:dyDescent="0.35">
      <c r="B37" s="1">
        <v>312.8</v>
      </c>
      <c r="C37" s="1">
        <v>312</v>
      </c>
    </row>
    <row r="38" spans="2:3" x14ac:dyDescent="0.35">
      <c r="B38" s="1">
        <v>312</v>
      </c>
      <c r="C38" s="1">
        <v>312</v>
      </c>
    </row>
    <row r="39" spans="2:3" x14ac:dyDescent="0.35">
      <c r="B39" s="1">
        <v>253</v>
      </c>
      <c r="C39" s="1">
        <v>270</v>
      </c>
    </row>
    <row r="40" spans="2:3" x14ac:dyDescent="0.35">
      <c r="B40" s="1">
        <v>200</v>
      </c>
      <c r="C40" s="1">
        <v>270</v>
      </c>
    </row>
    <row r="41" spans="2:3" x14ac:dyDescent="0.35">
      <c r="B41" s="1">
        <v>200</v>
      </c>
      <c r="C41" s="1">
        <v>200</v>
      </c>
    </row>
    <row r="42" spans="2:3" x14ac:dyDescent="0.35">
      <c r="B42" s="1">
        <v>200</v>
      </c>
      <c r="C42" s="1">
        <v>270</v>
      </c>
    </row>
    <row r="43" spans="2:3" x14ac:dyDescent="0.35">
      <c r="B43" s="1">
        <v>200</v>
      </c>
      <c r="C43" s="1">
        <v>312</v>
      </c>
    </row>
    <row r="44" spans="2:3" x14ac:dyDescent="0.35">
      <c r="B44" s="1">
        <v>200</v>
      </c>
      <c r="C44" s="1">
        <v>270</v>
      </c>
    </row>
    <row r="45" spans="2:3" x14ac:dyDescent="0.35">
      <c r="B45" s="1">
        <v>200</v>
      </c>
      <c r="C45" s="1">
        <v>270</v>
      </c>
    </row>
    <row r="46" spans="2:3" x14ac:dyDescent="0.35">
      <c r="B46" s="1">
        <v>200</v>
      </c>
      <c r="C46" s="1">
        <v>200</v>
      </c>
    </row>
    <row r="47" spans="2:3" x14ac:dyDescent="0.35">
      <c r="B47" s="1">
        <v>200</v>
      </c>
      <c r="C47" s="1">
        <v>200</v>
      </c>
    </row>
    <row r="48" spans="2:3" x14ac:dyDescent="0.35">
      <c r="B48" s="1">
        <v>200</v>
      </c>
      <c r="C48" s="1">
        <v>200</v>
      </c>
    </row>
    <row r="49" spans="2:3" x14ac:dyDescent="0.35">
      <c r="B49" s="1">
        <v>200</v>
      </c>
      <c r="C49" s="1">
        <v>200</v>
      </c>
    </row>
    <row r="50" spans="2:3" x14ac:dyDescent="0.35">
      <c r="B50" s="1">
        <v>200</v>
      </c>
      <c r="C50" s="1">
        <v>200</v>
      </c>
    </row>
    <row r="51" spans="2:3" x14ac:dyDescent="0.35">
      <c r="B51" s="1">
        <v>200</v>
      </c>
      <c r="C51" s="1">
        <v>205.8</v>
      </c>
    </row>
    <row r="52" spans="2:3" x14ac:dyDescent="0.35">
      <c r="B52" s="1">
        <v>221</v>
      </c>
      <c r="C52" s="1">
        <v>223</v>
      </c>
    </row>
    <row r="53" spans="2:3" x14ac:dyDescent="0.35">
      <c r="B53" s="1">
        <v>200</v>
      </c>
      <c r="C53" s="1">
        <v>205.8</v>
      </c>
    </row>
    <row r="54" spans="2:3" x14ac:dyDescent="0.35">
      <c r="B54" s="1">
        <v>200</v>
      </c>
      <c r="C54" s="1">
        <v>205.8</v>
      </c>
    </row>
    <row r="55" spans="2:3" x14ac:dyDescent="0.35">
      <c r="B55" s="1">
        <v>200</v>
      </c>
      <c r="C55" s="1">
        <v>200</v>
      </c>
    </row>
    <row r="56" spans="2:3" x14ac:dyDescent="0.35">
      <c r="B56" s="1">
        <v>200</v>
      </c>
      <c r="C56" s="1">
        <v>200</v>
      </c>
    </row>
    <row r="57" spans="2:3" x14ac:dyDescent="0.35">
      <c r="B57" s="1">
        <v>200</v>
      </c>
      <c r="C57" s="1">
        <v>200</v>
      </c>
    </row>
    <row r="58" spans="2:3" x14ac:dyDescent="0.35">
      <c r="B58" s="1">
        <v>200</v>
      </c>
      <c r="C58" s="1">
        <v>223</v>
      </c>
    </row>
    <row r="59" spans="2:3" x14ac:dyDescent="0.35">
      <c r="B59" s="1">
        <v>227</v>
      </c>
      <c r="C59" s="1">
        <v>223</v>
      </c>
    </row>
    <row r="60" spans="2:3" x14ac:dyDescent="0.35">
      <c r="B60" s="1">
        <v>222</v>
      </c>
      <c r="C60" s="1">
        <v>223</v>
      </c>
    </row>
    <row r="61" spans="2:3" x14ac:dyDescent="0.35">
      <c r="B61" s="1">
        <v>200</v>
      </c>
      <c r="C61" s="1">
        <v>200</v>
      </c>
    </row>
    <row r="62" spans="2:3" x14ac:dyDescent="0.35">
      <c r="B62" s="1">
        <v>200</v>
      </c>
      <c r="C62" s="1">
        <v>223</v>
      </c>
    </row>
    <row r="63" spans="2:3" x14ac:dyDescent="0.35">
      <c r="B63" s="1">
        <v>222</v>
      </c>
      <c r="C63" s="1">
        <v>258.10000000000002</v>
      </c>
    </row>
    <row r="64" spans="2:3" x14ac:dyDescent="0.35">
      <c r="B64" s="1">
        <v>312.8</v>
      </c>
      <c r="C64" s="1">
        <v>300.2</v>
      </c>
    </row>
    <row r="65" spans="2:3" x14ac:dyDescent="0.35">
      <c r="B65" s="1">
        <v>260</v>
      </c>
      <c r="C65" s="1">
        <v>265</v>
      </c>
    </row>
    <row r="66" spans="2:3" x14ac:dyDescent="0.35">
      <c r="B66" s="1">
        <v>250</v>
      </c>
      <c r="C66" s="1">
        <v>261</v>
      </c>
    </row>
    <row r="67" spans="2:3" x14ac:dyDescent="0.35">
      <c r="B67" s="1">
        <v>222</v>
      </c>
      <c r="C67" s="1">
        <v>300.2</v>
      </c>
    </row>
    <row r="68" spans="2:3" x14ac:dyDescent="0.35">
      <c r="B68" s="1">
        <v>200</v>
      </c>
      <c r="C68" s="1">
        <v>300.2</v>
      </c>
    </row>
    <row r="69" spans="2:3" x14ac:dyDescent="0.35">
      <c r="B69" s="1">
        <v>200</v>
      </c>
      <c r="C69" s="1">
        <v>261</v>
      </c>
    </row>
    <row r="70" spans="2:3" x14ac:dyDescent="0.35">
      <c r="B70" s="1">
        <v>200</v>
      </c>
      <c r="C70" s="1">
        <v>258.10000000000002</v>
      </c>
    </row>
    <row r="71" spans="2:3" x14ac:dyDescent="0.35">
      <c r="B71" s="1">
        <v>200</v>
      </c>
      <c r="C71" s="1">
        <v>210.2</v>
      </c>
    </row>
    <row r="72" spans="2:3" x14ac:dyDescent="0.35">
      <c r="B72" s="1">
        <v>227</v>
      </c>
      <c r="C72" s="1">
        <v>205.8</v>
      </c>
    </row>
    <row r="73" spans="2:3" x14ac:dyDescent="0.35">
      <c r="B73" s="1">
        <v>273</v>
      </c>
      <c r="C73" s="1">
        <v>223</v>
      </c>
    </row>
    <row r="74" spans="2:3" x14ac:dyDescent="0.35">
      <c r="B74" s="1">
        <v>273</v>
      </c>
      <c r="C74" s="1">
        <v>223</v>
      </c>
    </row>
    <row r="75" spans="2:3" x14ac:dyDescent="0.35">
      <c r="B75" s="1">
        <v>253</v>
      </c>
      <c r="C75" s="1">
        <v>223</v>
      </c>
    </row>
    <row r="76" spans="2:3" x14ac:dyDescent="0.35">
      <c r="B76" s="1">
        <v>227</v>
      </c>
      <c r="C76" s="1">
        <v>205.8</v>
      </c>
    </row>
    <row r="77" spans="2:3" x14ac:dyDescent="0.35">
      <c r="B77" s="1">
        <v>200</v>
      </c>
      <c r="C77" s="1">
        <v>200</v>
      </c>
    </row>
    <row r="78" spans="2:3" x14ac:dyDescent="0.35">
      <c r="B78" s="1">
        <v>200</v>
      </c>
      <c r="C78" s="1">
        <v>200</v>
      </c>
    </row>
    <row r="79" spans="2:3" x14ac:dyDescent="0.35">
      <c r="B79" s="1">
        <v>200</v>
      </c>
      <c r="C79" s="1">
        <v>300</v>
      </c>
    </row>
    <row r="80" spans="2:3" x14ac:dyDescent="0.35">
      <c r="B80" s="1">
        <v>200</v>
      </c>
      <c r="C80" s="1">
        <v>300</v>
      </c>
    </row>
    <row r="81" spans="2:3" x14ac:dyDescent="0.35">
      <c r="B81" s="1">
        <v>253</v>
      </c>
      <c r="C81" s="1">
        <v>300</v>
      </c>
    </row>
    <row r="82" spans="2:3" x14ac:dyDescent="0.35">
      <c r="B82" s="1">
        <v>273</v>
      </c>
      <c r="C82" s="1">
        <v>300</v>
      </c>
    </row>
    <row r="83" spans="2:3" x14ac:dyDescent="0.35">
      <c r="B83" s="1">
        <v>273</v>
      </c>
      <c r="C83" s="1">
        <v>300</v>
      </c>
    </row>
    <row r="84" spans="2:3" x14ac:dyDescent="0.35">
      <c r="B84" s="1">
        <v>273</v>
      </c>
      <c r="C84" s="1">
        <v>300</v>
      </c>
    </row>
    <row r="85" spans="2:3" x14ac:dyDescent="0.35">
      <c r="B85" s="1">
        <v>273</v>
      </c>
      <c r="C85" s="1">
        <v>300</v>
      </c>
    </row>
    <row r="86" spans="2:3" x14ac:dyDescent="0.35">
      <c r="B86" s="1">
        <v>273</v>
      </c>
      <c r="C86" s="1">
        <v>300</v>
      </c>
    </row>
    <row r="87" spans="2:3" x14ac:dyDescent="0.35">
      <c r="B87" s="1">
        <v>260</v>
      </c>
      <c r="C87" s="1">
        <v>300</v>
      </c>
    </row>
    <row r="88" spans="2:3" x14ac:dyDescent="0.35">
      <c r="B88" s="1">
        <v>260</v>
      </c>
      <c r="C88" s="1">
        <v>300</v>
      </c>
    </row>
    <row r="89" spans="2:3" x14ac:dyDescent="0.35">
      <c r="B89" s="1">
        <v>258</v>
      </c>
      <c r="C89" s="1">
        <v>300</v>
      </c>
    </row>
    <row r="90" spans="2:3" x14ac:dyDescent="0.35">
      <c r="B90" s="1">
        <v>300</v>
      </c>
      <c r="C90" s="1">
        <v>300</v>
      </c>
    </row>
    <row r="91" spans="2:3" x14ac:dyDescent="0.35">
      <c r="B91" s="1">
        <v>273</v>
      </c>
      <c r="C91" s="1">
        <v>300</v>
      </c>
    </row>
    <row r="92" spans="2:3" x14ac:dyDescent="0.35">
      <c r="B92" s="1">
        <v>260</v>
      </c>
      <c r="C92" s="1">
        <v>300</v>
      </c>
    </row>
    <row r="93" spans="2:3" x14ac:dyDescent="0.35">
      <c r="B93" s="1">
        <v>260</v>
      </c>
      <c r="C93" s="1">
        <v>300</v>
      </c>
    </row>
    <row r="94" spans="2:3" x14ac:dyDescent="0.35">
      <c r="B94" s="1">
        <v>260</v>
      </c>
      <c r="C94" s="1">
        <v>300</v>
      </c>
    </row>
    <row r="95" spans="2:3" x14ac:dyDescent="0.35">
      <c r="B95" s="1">
        <v>260</v>
      </c>
      <c r="C95" s="1">
        <v>300.2</v>
      </c>
    </row>
    <row r="96" spans="2:3" x14ac:dyDescent="0.35">
      <c r="B96" s="1">
        <v>258</v>
      </c>
      <c r="C96" s="1">
        <v>300.2</v>
      </c>
    </row>
    <row r="97" spans="2:3" x14ac:dyDescent="0.35">
      <c r="B97" s="1">
        <v>260</v>
      </c>
      <c r="C97" s="1">
        <v>300.2</v>
      </c>
    </row>
  </sheetData>
  <autoFilter ref="B1:C97" xr:uid="{00000000-0009-0000-0000-000001000000}"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其汉 古</cp:lastModifiedBy>
  <dcterms:created xsi:type="dcterms:W3CDTF">2025-06-02T06:35:09Z</dcterms:created>
  <dcterms:modified xsi:type="dcterms:W3CDTF">2025-12-15T03:06:03Z</dcterms:modified>
</cp:coreProperties>
</file>